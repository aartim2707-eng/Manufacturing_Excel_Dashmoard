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C:\Users\Aarti Pandey\Downloads\"/>
    </mc:Choice>
  </mc:AlternateContent>
  <xr:revisionPtr revIDLastSave="0" documentId="13_ncr:1_{FA723BB4-21B2-4AC9-A071-251292967995}" xr6:coauthVersionLast="47" xr6:coauthVersionMax="47" xr10:uidLastSave="{00000000-0000-0000-0000-000000000000}"/>
  <bookViews>
    <workbookView xWindow="-108" yWindow="-108" windowWidth="23256" windowHeight="12456" firstSheet="1" activeTab="3" xr2:uid="{00000000-000D-0000-FFFF-FFFF00000000}"/>
  </bookViews>
  <sheets>
    <sheet name="Manufecturing Dataset" sheetId="1" r:id="rId1"/>
    <sheet name="Manufecturing pivot table" sheetId="2" r:id="rId2"/>
    <sheet name="Manudfecturing problem statemen" sheetId="5" r:id="rId3"/>
    <sheet name="Manufecturing Dashboard " sheetId="3" r:id="rId4"/>
  </sheets>
  <definedNames>
    <definedName name="_xlnm._FilterDatabase" localSheetId="0" hidden="1">'Manufecturing Dataset'!$A$2:$J$802</definedName>
    <definedName name="Slicer_Defect_Type">#N/A</definedName>
    <definedName name="Slicer_Machine_Used">#N/A</definedName>
    <definedName name="Slicer_Shift">#N/A</definedName>
    <definedName name="Slicer_Supplier">#N/A</definedName>
  </definedNames>
  <calcPr calcId="191029"/>
  <pivotCaches>
    <pivotCache cacheId="0" r:id="rId5"/>
    <pivotCache cacheId="1" r:id="rId6"/>
    <pivotCache cacheId="2" r:id="rId7"/>
  </pivotCaches>
  <extLst>
    <ext xmlns:x14="http://schemas.microsoft.com/office/spreadsheetml/2009/9/main" uri="{BBE1A952-AA13-448e-AADC-164F8A28A991}">
      <x14:slicerCaches>
        <x14:slicerCache r:id="rId8"/>
        <x14:slicerCache r:id="rId9"/>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4" i="1" l="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3" i="1"/>
</calcChain>
</file>

<file path=xl/sharedStrings.xml><?xml version="1.0" encoding="utf-8"?>
<sst xmlns="http://schemas.openxmlformats.org/spreadsheetml/2006/main" count="4884" uniqueCount="386">
  <si>
    <t>Product Name</t>
  </si>
  <si>
    <t>Production Date</t>
  </si>
  <si>
    <t>Quantity Produced</t>
  </si>
  <si>
    <t>Shift</t>
  </si>
  <si>
    <t>Machine Used</t>
  </si>
  <si>
    <t>Defect Type</t>
  </si>
  <si>
    <t>Defect Count</t>
  </si>
  <si>
    <t>Downtime Hours</t>
  </si>
  <si>
    <t>Supplier</t>
  </si>
  <si>
    <t>Delivery Delay Days</t>
  </si>
  <si>
    <t>Aluminum Sheets</t>
  </si>
  <si>
    <t>Copper Pipes</t>
  </si>
  <si>
    <t>Steel Bolts</t>
  </si>
  <si>
    <t>Plastic Gears</t>
  </si>
  <si>
    <t>2024-03-19</t>
  </si>
  <si>
    <t>2024-10-22</t>
  </si>
  <si>
    <t>2024-01-04</t>
  </si>
  <si>
    <t>2024-06-20</t>
  </si>
  <si>
    <t>2024-07-09</t>
  </si>
  <si>
    <t>2024-09-08</t>
  </si>
  <si>
    <t>2024-04-26</t>
  </si>
  <si>
    <t>2024-04-24</t>
  </si>
  <si>
    <t>2024-07-27</t>
  </si>
  <si>
    <t>2024-03-26</t>
  </si>
  <si>
    <t>2024-08-14</t>
  </si>
  <si>
    <t>2024-11-30</t>
  </si>
  <si>
    <t>2024-06-22</t>
  </si>
  <si>
    <t>2024-08-21</t>
  </si>
  <si>
    <t>2024-06-13</t>
  </si>
  <si>
    <t>2024-08-20</t>
  </si>
  <si>
    <t>2024-07-28</t>
  </si>
  <si>
    <t>2024-09-30</t>
  </si>
  <si>
    <t>2024-05-15</t>
  </si>
  <si>
    <t>2024-12-02</t>
  </si>
  <si>
    <t>2024-04-23</t>
  </si>
  <si>
    <t>2024-05-17</t>
  </si>
  <si>
    <t>2024-01-02</t>
  </si>
  <si>
    <t>2024-08-29</t>
  </si>
  <si>
    <t>2024-05-01</t>
  </si>
  <si>
    <t>2024-09-13</t>
  </si>
  <si>
    <t>2024-09-25</t>
  </si>
  <si>
    <t>2024-12-29</t>
  </si>
  <si>
    <t>2024-07-24</t>
  </si>
  <si>
    <t>2024-07-08</t>
  </si>
  <si>
    <t>2024-12-21</t>
  </si>
  <si>
    <t>2024-03-04</t>
  </si>
  <si>
    <t>2024-08-28</t>
  </si>
  <si>
    <t>2024-12-12</t>
  </si>
  <si>
    <t>2024-10-15</t>
  </si>
  <si>
    <t>2024-04-16</t>
  </si>
  <si>
    <t>2024-02-20</t>
  </si>
  <si>
    <t>2024-03-29</t>
  </si>
  <si>
    <t>2024-09-14</t>
  </si>
  <si>
    <t>2024-08-24</t>
  </si>
  <si>
    <t>2024-05-07</t>
  </si>
  <si>
    <t>2024-02-01</t>
  </si>
  <si>
    <t>2024-08-16</t>
  </si>
  <si>
    <t>2024-03-31</t>
  </si>
  <si>
    <t>2024-12-04</t>
  </si>
  <si>
    <t>2024-03-17</t>
  </si>
  <si>
    <t>2024-08-13</t>
  </si>
  <si>
    <t>2024-02-06</t>
  </si>
  <si>
    <t>2024-05-12</t>
  </si>
  <si>
    <t>2024-01-24</t>
  </si>
  <si>
    <t>2024-06-18</t>
  </si>
  <si>
    <t>2024-01-22</t>
  </si>
  <si>
    <t>2024-11-17</t>
  </si>
  <si>
    <t>2024-08-31</t>
  </si>
  <si>
    <t>2024-12-22</t>
  </si>
  <si>
    <t>2024-02-11</t>
  </si>
  <si>
    <t>2024-02-19</t>
  </si>
  <si>
    <t>2024-01-29</t>
  </si>
  <si>
    <t>2024-03-09</t>
  </si>
  <si>
    <t>2024-04-30</t>
  </si>
  <si>
    <t>2024-11-25</t>
  </si>
  <si>
    <t>2024-03-05</t>
  </si>
  <si>
    <t>2024-07-02</t>
  </si>
  <si>
    <t>2024-03-20</t>
  </si>
  <si>
    <t>2024-01-11</t>
  </si>
  <si>
    <t>2024-09-28</t>
  </si>
  <si>
    <t>2024-03-08</t>
  </si>
  <si>
    <t>2024-01-13</t>
  </si>
  <si>
    <t>2024-01-10</t>
  </si>
  <si>
    <t>2024-01-25</t>
  </si>
  <si>
    <t>2024-02-25</t>
  </si>
  <si>
    <t>2024-04-10</t>
  </si>
  <si>
    <t>2024-09-21</t>
  </si>
  <si>
    <t>2024-01-28</t>
  </si>
  <si>
    <t>2024-04-15</t>
  </si>
  <si>
    <t>2024-10-13</t>
  </si>
  <si>
    <t>2024-05-29</t>
  </si>
  <si>
    <t>2024-05-08</t>
  </si>
  <si>
    <t>2024-04-28</t>
  </si>
  <si>
    <t>2024-09-19</t>
  </si>
  <si>
    <t>2024-11-04</t>
  </si>
  <si>
    <t>2024-01-09</t>
  </si>
  <si>
    <t>2024-08-09</t>
  </si>
  <si>
    <t>2024-07-31</t>
  </si>
  <si>
    <t>2024-01-18</t>
  </si>
  <si>
    <t>2024-01-31</t>
  </si>
  <si>
    <t>2024-09-03</t>
  </si>
  <si>
    <t>2024-09-18</t>
  </si>
  <si>
    <t>2024-06-24</t>
  </si>
  <si>
    <t>2024-11-02</t>
  </si>
  <si>
    <t>2024-04-09</t>
  </si>
  <si>
    <t>2024-10-17</t>
  </si>
  <si>
    <t>2024-03-14</t>
  </si>
  <si>
    <t>2024-02-07</t>
  </si>
  <si>
    <t>2024-07-03</t>
  </si>
  <si>
    <t>2024-03-23</t>
  </si>
  <si>
    <t>2024-12-23</t>
  </si>
  <si>
    <t>2024-10-26</t>
  </si>
  <si>
    <t>2024-01-03</t>
  </si>
  <si>
    <t>2024-10-10</t>
  </si>
  <si>
    <t>2024-05-04</t>
  </si>
  <si>
    <t>2024-07-06</t>
  </si>
  <si>
    <t>2024-05-13</t>
  </si>
  <si>
    <t>2024-09-01</t>
  </si>
  <si>
    <t>2024-10-28</t>
  </si>
  <si>
    <t>2024-09-06</t>
  </si>
  <si>
    <t>2024-11-20</t>
  </si>
  <si>
    <t>2024-11-27</t>
  </si>
  <si>
    <t>2024-11-28</t>
  </si>
  <si>
    <t>2024-06-15</t>
  </si>
  <si>
    <t>2024-03-28</t>
  </si>
  <si>
    <t>2024-03-21</t>
  </si>
  <si>
    <t>2024-02-09</t>
  </si>
  <si>
    <t>2024-04-04</t>
  </si>
  <si>
    <t>2024-06-27</t>
  </si>
  <si>
    <t>2024-11-18</t>
  </si>
  <si>
    <t>2024-04-19</t>
  </si>
  <si>
    <t>2024-12-07</t>
  </si>
  <si>
    <t>2024-02-12</t>
  </si>
  <si>
    <t>2024-03-12</t>
  </si>
  <si>
    <t>2024-01-05</t>
  </si>
  <si>
    <t>2024-08-25</t>
  </si>
  <si>
    <t>2024-01-20</t>
  </si>
  <si>
    <t>2024-10-27</t>
  </si>
  <si>
    <t>2024-11-11</t>
  </si>
  <si>
    <t>2024-10-04</t>
  </si>
  <si>
    <t>2024-06-11</t>
  </si>
  <si>
    <t>2024-07-19</t>
  </si>
  <si>
    <t>2024-07-22</t>
  </si>
  <si>
    <t>2024-07-25</t>
  </si>
  <si>
    <t>2024-10-12</t>
  </si>
  <si>
    <t>2024-08-26</t>
  </si>
  <si>
    <t>2024-07-12</t>
  </si>
  <si>
    <t>2024-11-13</t>
  </si>
  <si>
    <t>2024-05-10</t>
  </si>
  <si>
    <t>2024-03-16</t>
  </si>
  <si>
    <t>2024-05-23</t>
  </si>
  <si>
    <t>2024-08-11</t>
  </si>
  <si>
    <t>2024-03-13</t>
  </si>
  <si>
    <t>2024-10-20</t>
  </si>
  <si>
    <t>2024-09-02</t>
  </si>
  <si>
    <t>2024-03-03</t>
  </si>
  <si>
    <t>2024-02-02</t>
  </si>
  <si>
    <t>2024-07-15</t>
  </si>
  <si>
    <t>2024-06-05</t>
  </si>
  <si>
    <t>2024-02-10</t>
  </si>
  <si>
    <t>2024-12-09</t>
  </si>
  <si>
    <t>2024-11-10</t>
  </si>
  <si>
    <t>2024-02-26</t>
  </si>
  <si>
    <t>2024-12-14</t>
  </si>
  <si>
    <t>2024-06-02</t>
  </si>
  <si>
    <t>2024-01-17</t>
  </si>
  <si>
    <t>2024-02-14</t>
  </si>
  <si>
    <t>2024-07-13</t>
  </si>
  <si>
    <t>2024-12-05</t>
  </si>
  <si>
    <t>2024-12-11</t>
  </si>
  <si>
    <t>2024-03-11</t>
  </si>
  <si>
    <t>2024-06-08</t>
  </si>
  <si>
    <t>2024-04-06</t>
  </si>
  <si>
    <t>2024-01-19</t>
  </si>
  <si>
    <t>2024-08-12</t>
  </si>
  <si>
    <t>2024-11-19</t>
  </si>
  <si>
    <t>2024-10-05</t>
  </si>
  <si>
    <t>2024-12-18</t>
  </si>
  <si>
    <t>2024-04-07</t>
  </si>
  <si>
    <t>2024-09-04</t>
  </si>
  <si>
    <t>2024-05-09</t>
  </si>
  <si>
    <t>2024-04-20</t>
  </si>
  <si>
    <t>2024-12-19</t>
  </si>
  <si>
    <t>2024-10-18</t>
  </si>
  <si>
    <t>2024-11-15</t>
  </si>
  <si>
    <t>2024-07-26</t>
  </si>
  <si>
    <t>2024-12-24</t>
  </si>
  <si>
    <t>2024-02-24</t>
  </si>
  <si>
    <t>2024-07-18</t>
  </si>
  <si>
    <t>2024-09-11</t>
  </si>
  <si>
    <t>2024-06-23</t>
  </si>
  <si>
    <t>2024-08-23</t>
  </si>
  <si>
    <t>2024-11-14</t>
  </si>
  <si>
    <t>2024-08-30</t>
  </si>
  <si>
    <t>2024-09-23</t>
  </si>
  <si>
    <t>2024-02-27</t>
  </si>
  <si>
    <t>2024-08-10</t>
  </si>
  <si>
    <t>2024-10-19</t>
  </si>
  <si>
    <t>2024-03-25</t>
  </si>
  <si>
    <t>2024-03-24</t>
  </si>
  <si>
    <t>2024-11-05</t>
  </si>
  <si>
    <t>2024-03-15</t>
  </si>
  <si>
    <t>2024-10-25</t>
  </si>
  <si>
    <t>2024-03-22</t>
  </si>
  <si>
    <t>2024-04-25</t>
  </si>
  <si>
    <t>2024-09-12</t>
  </si>
  <si>
    <t>2024-03-06</t>
  </si>
  <si>
    <t>2024-02-23</t>
  </si>
  <si>
    <t>2024-07-29</t>
  </si>
  <si>
    <t>2024-09-24</t>
  </si>
  <si>
    <t>2024-05-06</t>
  </si>
  <si>
    <t>2024-12-20</t>
  </si>
  <si>
    <t>2024-10-31</t>
  </si>
  <si>
    <t>2024-06-03</t>
  </si>
  <si>
    <t>2024-08-07</t>
  </si>
  <si>
    <t>2024-12-26</t>
  </si>
  <si>
    <t>2024-09-07</t>
  </si>
  <si>
    <t>2024-01-30</t>
  </si>
  <si>
    <t>2024-02-28</t>
  </si>
  <si>
    <t>2024-10-14</t>
  </si>
  <si>
    <t>2024-02-04</t>
  </si>
  <si>
    <t>2024-08-18</t>
  </si>
  <si>
    <t>2024-12-28</t>
  </si>
  <si>
    <t>2024-07-17</t>
  </si>
  <si>
    <t>2024-02-15</t>
  </si>
  <si>
    <t>2024-06-07</t>
  </si>
  <si>
    <t>2024-10-11</t>
  </si>
  <si>
    <t>2024-05-21</t>
  </si>
  <si>
    <t>2024-04-29</t>
  </si>
  <si>
    <t>2024-01-23</t>
  </si>
  <si>
    <t>2024-01-01</t>
  </si>
  <si>
    <t>2024-10-08</t>
  </si>
  <si>
    <t>2024-08-03</t>
  </si>
  <si>
    <t>2024-11-07</t>
  </si>
  <si>
    <t>2024-07-20</t>
  </si>
  <si>
    <t>2024-12-17</t>
  </si>
  <si>
    <t>2024-01-15</t>
  </si>
  <si>
    <t>2024-07-10</t>
  </si>
  <si>
    <t>2024-04-02</t>
  </si>
  <si>
    <t>2024-08-06</t>
  </si>
  <si>
    <t>2024-09-27</t>
  </si>
  <si>
    <t>2024-05-19</t>
  </si>
  <si>
    <t>2024-09-15</t>
  </si>
  <si>
    <t>2024-07-21</t>
  </si>
  <si>
    <t>2024-09-16</t>
  </si>
  <si>
    <t>2024-06-14</t>
  </si>
  <si>
    <t>2024-12-27</t>
  </si>
  <si>
    <t>2024-08-01</t>
  </si>
  <si>
    <t>2024-04-03</t>
  </si>
  <si>
    <t>2024-06-10</t>
  </si>
  <si>
    <t>2024-05-02</t>
  </si>
  <si>
    <t>2024-01-12</t>
  </si>
  <si>
    <t>2024-11-21</t>
  </si>
  <si>
    <t>2024-10-21</t>
  </si>
  <si>
    <t>2024-06-26</t>
  </si>
  <si>
    <t>2024-10-09</t>
  </si>
  <si>
    <t>2024-04-18</t>
  </si>
  <si>
    <t>2024-07-01</t>
  </si>
  <si>
    <t>2024-12-06</t>
  </si>
  <si>
    <t>2024-03-30</t>
  </si>
  <si>
    <t>2024-02-21</t>
  </si>
  <si>
    <t>2024-08-17</t>
  </si>
  <si>
    <t>2024-06-12</t>
  </si>
  <si>
    <t>2024-07-16</t>
  </si>
  <si>
    <t>2024-06-19</t>
  </si>
  <si>
    <t>2024-12-03</t>
  </si>
  <si>
    <t>2024-07-07</t>
  </si>
  <si>
    <t>2024-03-18</t>
  </si>
  <si>
    <t>2024-12-01</t>
  </si>
  <si>
    <t>2024-05-14</t>
  </si>
  <si>
    <t>2024-05-27</t>
  </si>
  <si>
    <t>2024-05-31</t>
  </si>
  <si>
    <t>2024-07-04</t>
  </si>
  <si>
    <t>2024-02-08</t>
  </si>
  <si>
    <t>2024-11-16</t>
  </si>
  <si>
    <t>2024-06-30</t>
  </si>
  <si>
    <t>2024-03-27</t>
  </si>
  <si>
    <t>2024-10-06</t>
  </si>
  <si>
    <t>2024-11-29</t>
  </si>
  <si>
    <t>2024-07-11</t>
  </si>
  <si>
    <t>2024-11-08</t>
  </si>
  <si>
    <t>2024-01-08</t>
  </si>
  <si>
    <t>2024-04-11</t>
  </si>
  <si>
    <t>2024-04-12</t>
  </si>
  <si>
    <t>2024-10-07</t>
  </si>
  <si>
    <t>2024-10-30</t>
  </si>
  <si>
    <t>2024-06-04</t>
  </si>
  <si>
    <t>2024-11-24</t>
  </si>
  <si>
    <t>2024-09-09</t>
  </si>
  <si>
    <t>2024-08-19</t>
  </si>
  <si>
    <t>2024-11-01</t>
  </si>
  <si>
    <t>2024-12-08</t>
  </si>
  <si>
    <t>2024-06-28</t>
  </si>
  <si>
    <t>2024-09-10</t>
  </si>
  <si>
    <t>2024-04-08</t>
  </si>
  <si>
    <t>2024-08-22</t>
  </si>
  <si>
    <t>2024-02-13</t>
  </si>
  <si>
    <t>2024-06-06</t>
  </si>
  <si>
    <t>2024-11-12</t>
  </si>
  <si>
    <t>2024-06-29</t>
  </si>
  <si>
    <t>2024-06-16</t>
  </si>
  <si>
    <t>2024-01-14</t>
  </si>
  <si>
    <t>2024-05-03</t>
  </si>
  <si>
    <t>2024-02-03</t>
  </si>
  <si>
    <t>2024-05-25</t>
  </si>
  <si>
    <t>2024-06-21</t>
  </si>
  <si>
    <t>2024-07-30</t>
  </si>
  <si>
    <t>2024-05-11</t>
  </si>
  <si>
    <t>2024-08-08</t>
  </si>
  <si>
    <t>2024-09-29</t>
  </si>
  <si>
    <t>2024-12-10</t>
  </si>
  <si>
    <t>2024-04-17</t>
  </si>
  <si>
    <t>2024-09-26</t>
  </si>
  <si>
    <t>2024-02-29</t>
  </si>
  <si>
    <t>2024-08-02</t>
  </si>
  <si>
    <t>2024-10-01</t>
  </si>
  <si>
    <t>2024-03-10</t>
  </si>
  <si>
    <t>2024-09-17</t>
  </si>
  <si>
    <t>2024-02-22</t>
  </si>
  <si>
    <t>2024-12-25</t>
  </si>
  <si>
    <t>2024-08-05</t>
  </si>
  <si>
    <t>2024-04-27</t>
  </si>
  <si>
    <t>2024-11-23</t>
  </si>
  <si>
    <t>2024-02-05</t>
  </si>
  <si>
    <t>2024-03-07</t>
  </si>
  <si>
    <t>2024-11-06</t>
  </si>
  <si>
    <t>2024-01-07</t>
  </si>
  <si>
    <t>2024-09-20</t>
  </si>
  <si>
    <t>2024-06-25</t>
  </si>
  <si>
    <t>2024-05-28</t>
  </si>
  <si>
    <t>2024-08-27</t>
  </si>
  <si>
    <t>2024-03-02</t>
  </si>
  <si>
    <t>2024-01-26</t>
  </si>
  <si>
    <t>2024-02-18</t>
  </si>
  <si>
    <t>2024-09-05</t>
  </si>
  <si>
    <t>2024-06-09</t>
  </si>
  <si>
    <t>2024-12-31</t>
  </si>
  <si>
    <t>2024-04-22</t>
  </si>
  <si>
    <t>2024-08-15</t>
  </si>
  <si>
    <t>2024-12-15</t>
  </si>
  <si>
    <t>Shift 1</t>
  </si>
  <si>
    <t>Shift 2</t>
  </si>
  <si>
    <t>Shift 3</t>
  </si>
  <si>
    <t>Drill</t>
  </si>
  <si>
    <t>Lathe</t>
  </si>
  <si>
    <t>Cutter</t>
  </si>
  <si>
    <t>Press</t>
  </si>
  <si>
    <t>Painting</t>
  </si>
  <si>
    <t>Cutting</t>
  </si>
  <si>
    <t>Assembly</t>
  </si>
  <si>
    <t>Welding</t>
  </si>
  <si>
    <t>Alpha Metals</t>
  </si>
  <si>
    <t>Bright Supplies</t>
  </si>
  <si>
    <t>QuickParts</t>
  </si>
  <si>
    <t>Metro Steel</t>
  </si>
  <si>
    <t>**Manufecturing Dataset**</t>
  </si>
  <si>
    <t>Row Labels</t>
  </si>
  <si>
    <t>Grand Total</t>
  </si>
  <si>
    <t>Column Labels</t>
  </si>
  <si>
    <t>Sum of Quantity Produced</t>
  </si>
  <si>
    <t>Sum of Defect Count</t>
  </si>
  <si>
    <t>Average of Delivery Delay Days</t>
  </si>
  <si>
    <t>Total Quantity Produced</t>
  </si>
  <si>
    <t>Total Defect Count</t>
  </si>
  <si>
    <t xml:space="preserve"> Supplier Reliability and Delivery Delays
Problem: Evaluate supplier performance by analyzing delivery delays and their impact on production.</t>
  </si>
  <si>
    <t>Problem: Determine which machines (Lathe, Drill, Press, Cutter) are associated with the highest defect counts and which defect types (Welding, Painting, Assembly, Cutting) occur most frequently.</t>
  </si>
  <si>
    <t>Count of Product Name</t>
  </si>
  <si>
    <t>Sum of Delivery Delay Days</t>
  </si>
  <si>
    <t>Monthname</t>
  </si>
  <si>
    <t>Average of Quantity Produced</t>
  </si>
  <si>
    <t>Jan</t>
  </si>
  <si>
    <t>Feb</t>
  </si>
  <si>
    <t>Mar</t>
  </si>
  <si>
    <t>Apr</t>
  </si>
  <si>
    <t>May</t>
  </si>
  <si>
    <t>Jun</t>
  </si>
  <si>
    <t>Jul</t>
  </si>
  <si>
    <t>Aug</t>
  </si>
  <si>
    <t>Sep</t>
  </si>
  <si>
    <t>Oct</t>
  </si>
  <si>
    <t>Nov</t>
  </si>
  <si>
    <t>Dec</t>
  </si>
  <si>
    <t>*Manufacturing Dashboard*</t>
  </si>
  <si>
    <t>Sum of Downtime Hours</t>
  </si>
  <si>
    <t xml:space="preserve">Production Efficiency by Product and Shif-Identify which products have the highest and lowest production volumes across different shifts. </t>
  </si>
  <si>
    <t>Sum of QTY  Produced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</si>
</sst>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yyyy/mm/dd;@"/>
  </numFmts>
  <fonts count="13" x14ac:knownFonts="1">
    <font>
      <sz val="11"/>
      <color theme="1"/>
      <name val="Calibri"/>
      <family val="2"/>
      <scheme val="minor"/>
    </font>
    <font>
      <sz val="11"/>
      <color theme="1"/>
      <name val="Cambria"/>
      <family val="1"/>
      <scheme val="major"/>
    </font>
    <font>
      <b/>
      <i/>
      <sz val="20"/>
      <color theme="0"/>
      <name val="Cambria"/>
      <family val="1"/>
      <scheme val="major"/>
    </font>
    <font>
      <b/>
      <sz val="24"/>
      <name val="Arial Black"/>
      <family val="2"/>
    </font>
    <font>
      <sz val="11"/>
      <name val="Calibri"/>
      <family val="2"/>
      <scheme val="minor"/>
    </font>
    <font>
      <b/>
      <sz val="26"/>
      <color theme="0"/>
      <name val="Arial Black"/>
      <family val="2"/>
    </font>
    <font>
      <sz val="18"/>
      <color theme="1"/>
      <name val="Calibri"/>
      <family val="2"/>
      <scheme val="minor"/>
    </font>
    <font>
      <b/>
      <sz val="26"/>
      <color theme="1"/>
      <name val="Arial Black"/>
      <family val="2"/>
    </font>
    <font>
      <sz val="12"/>
      <color theme="1"/>
      <name val="Cambria"/>
      <family val="1"/>
      <scheme val="major"/>
    </font>
    <font>
      <b/>
      <sz val="12"/>
      <color theme="1"/>
      <name val="Cambria"/>
      <family val="1"/>
      <scheme val="major"/>
    </font>
    <font>
      <b/>
      <i/>
      <sz val="20"/>
      <color theme="1"/>
      <name val="Cambria"/>
      <family val="1"/>
      <scheme val="major"/>
    </font>
    <font>
      <b/>
      <sz val="14"/>
      <name val="Cambria"/>
      <family val="1"/>
      <scheme val="major"/>
    </font>
    <font>
      <b/>
      <sz val="11"/>
      <name val="Cambria"/>
      <family val="1"/>
      <scheme val="major"/>
    </font>
  </fonts>
  <fills count="7">
    <fill>
      <patternFill patternType="none"/>
    </fill>
    <fill>
      <patternFill patternType="gray125"/>
    </fill>
    <fill>
      <patternFill patternType="solid">
        <fgColor theme="8" tint="0.39997558519241921"/>
        <bgColor indexed="64"/>
      </patternFill>
    </fill>
    <fill>
      <patternFill patternType="solid">
        <fgColor theme="5" tint="0.79998168889431442"/>
        <bgColor indexed="64"/>
      </patternFill>
    </fill>
    <fill>
      <patternFill patternType="solid">
        <fgColor theme="6"/>
        <bgColor indexed="64"/>
      </patternFill>
    </fill>
    <fill>
      <patternFill patternType="solid">
        <fgColor theme="1"/>
        <bgColor indexed="64"/>
      </patternFill>
    </fill>
    <fill>
      <patternFill patternType="solid">
        <fgColor theme="7" tint="0.39997558519241921"/>
        <bgColor indexed="64"/>
      </patternFill>
    </fill>
  </fills>
  <borders count="19">
    <border>
      <left/>
      <right/>
      <top/>
      <bottom/>
      <diagonal/>
    </border>
    <border>
      <left style="thin">
        <color auto="1"/>
      </left>
      <right style="thin">
        <color auto="1"/>
      </right>
      <top style="thin">
        <color auto="1"/>
      </top>
      <bottom style="thin">
        <color auto="1"/>
      </bottom>
      <diagonal/>
    </border>
    <border>
      <left/>
      <right/>
      <top/>
      <bottom style="thin">
        <color auto="1"/>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cellStyleXfs>
  <cellXfs count="50">
    <xf numFmtId="0" fontId="0" fillId="0" borderId="0" xfId="0"/>
    <xf numFmtId="0" fontId="1" fillId="0" borderId="1" xfId="0" applyFont="1" applyBorder="1" applyAlignment="1">
      <alignment horizontal="center"/>
    </xf>
    <xf numFmtId="0" fontId="1" fillId="0" borderId="0" xfId="0" applyFont="1"/>
    <xf numFmtId="0" fontId="1" fillId="0" borderId="0" xfId="0" applyFont="1" applyAlignment="1">
      <alignment vertical="center"/>
    </xf>
    <xf numFmtId="164" fontId="1" fillId="0" borderId="1" xfId="0" applyNumberFormat="1" applyFont="1" applyBorder="1" applyAlignment="1">
      <alignment horizontal="center"/>
    </xf>
    <xf numFmtId="164" fontId="1" fillId="0" borderId="0" xfId="0" applyNumberFormat="1" applyFont="1"/>
    <xf numFmtId="0" fontId="1" fillId="0" borderId="0" xfId="0" applyFont="1" applyAlignment="1">
      <alignment horizontal="center"/>
    </xf>
    <xf numFmtId="0" fontId="3" fillId="0" borderId="0" xfId="0" applyFont="1" applyAlignment="1">
      <alignment vertical="center"/>
    </xf>
    <xf numFmtId="0" fontId="4" fillId="0" borderId="0" xfId="0" applyFont="1"/>
    <xf numFmtId="0" fontId="6" fillId="5" borderId="0" xfId="0" applyFont="1" applyFill="1"/>
    <xf numFmtId="0" fontId="0" fillId="4" borderId="9" xfId="0" applyFill="1" applyBorder="1"/>
    <xf numFmtId="0" fontId="0" fillId="4" borderId="0" xfId="0" applyFill="1"/>
    <xf numFmtId="0" fontId="0" fillId="4" borderId="10" xfId="0" applyFill="1" applyBorder="1"/>
    <xf numFmtId="0" fontId="0" fillId="4" borderId="6" xfId="0" applyFill="1" applyBorder="1"/>
    <xf numFmtId="0" fontId="0" fillId="4" borderId="7" xfId="0" applyFill="1" applyBorder="1"/>
    <xf numFmtId="0" fontId="0" fillId="4" borderId="8" xfId="0" applyFill="1" applyBorder="1"/>
    <xf numFmtId="0" fontId="1" fillId="0" borderId="16" xfId="0" applyFont="1" applyBorder="1" applyAlignment="1">
      <alignment horizontal="center"/>
    </xf>
    <xf numFmtId="0" fontId="1" fillId="0" borderId="15" xfId="0" applyFont="1" applyBorder="1" applyAlignment="1">
      <alignment horizontal="center"/>
    </xf>
    <xf numFmtId="0" fontId="1" fillId="0" borderId="12" xfId="0" applyFont="1" applyBorder="1" applyAlignment="1">
      <alignment horizontal="center"/>
    </xf>
    <xf numFmtId="0" fontId="1" fillId="0" borderId="17" xfId="0" applyFont="1" applyBorder="1" applyAlignment="1">
      <alignment horizontal="center"/>
    </xf>
    <xf numFmtId="0" fontId="1" fillId="0" borderId="11" xfId="0" applyFont="1" applyBorder="1" applyAlignment="1">
      <alignment horizontal="center"/>
    </xf>
    <xf numFmtId="0" fontId="8" fillId="0" borderId="0" xfId="0" applyFont="1"/>
    <xf numFmtId="0" fontId="8" fillId="0" borderId="1" xfId="0" pivotButton="1" applyFont="1" applyBorder="1" applyAlignment="1">
      <alignment horizontal="center"/>
    </xf>
    <xf numFmtId="0" fontId="8" fillId="0" borderId="1" xfId="0" applyFont="1" applyBorder="1" applyAlignment="1">
      <alignment horizontal="center"/>
    </xf>
    <xf numFmtId="0" fontId="8" fillId="0" borderId="0" xfId="0" applyFont="1" applyAlignment="1">
      <alignment horizontal="center"/>
    </xf>
    <xf numFmtId="2" fontId="8" fillId="0" borderId="1" xfId="0" applyNumberFormat="1" applyFont="1" applyBorder="1" applyAlignment="1">
      <alignment horizontal="center"/>
    </xf>
    <xf numFmtId="0" fontId="9" fillId="0" borderId="0" xfId="0" applyFont="1"/>
    <xf numFmtId="0" fontId="8" fillId="0" borderId="1" xfId="0" pivotButton="1" applyFont="1" applyBorder="1"/>
    <xf numFmtId="0" fontId="8" fillId="0" borderId="1" xfId="0" applyFont="1" applyBorder="1"/>
    <xf numFmtId="0" fontId="8" fillId="0" borderId="1" xfId="0" applyFont="1" applyBorder="1" applyAlignment="1">
      <alignment horizontal="left"/>
    </xf>
    <xf numFmtId="10" fontId="8" fillId="0" borderId="1" xfId="0" applyNumberFormat="1" applyFont="1" applyBorder="1"/>
    <xf numFmtId="0" fontId="8" fillId="3" borderId="0" xfId="0" applyFont="1" applyFill="1" applyAlignment="1">
      <alignment horizontal="center" wrapText="1"/>
    </xf>
    <xf numFmtId="0" fontId="8" fillId="3" borderId="2" xfId="0" applyFont="1" applyFill="1" applyBorder="1" applyAlignment="1">
      <alignment horizontal="center" wrapText="1"/>
    </xf>
    <xf numFmtId="0" fontId="8" fillId="3" borderId="1" xfId="0" applyFont="1" applyFill="1" applyBorder="1" applyAlignment="1">
      <alignment horizontal="center" vertical="center" wrapText="1"/>
    </xf>
    <xf numFmtId="0" fontId="8" fillId="0" borderId="0" xfId="0" applyFont="1" applyAlignment="1">
      <alignment horizontal="center"/>
    </xf>
    <xf numFmtId="0" fontId="5" fillId="4" borderId="3" xfId="0" applyFont="1" applyFill="1" applyBorder="1" applyAlignment="1">
      <alignment horizontal="center" vertical="center"/>
    </xf>
    <xf numFmtId="0" fontId="7" fillId="4" borderId="4" xfId="0" applyFont="1" applyFill="1" applyBorder="1" applyAlignment="1">
      <alignment horizontal="center" vertical="center"/>
    </xf>
    <xf numFmtId="0" fontId="7" fillId="4" borderId="5" xfId="0" applyFont="1" applyFill="1" applyBorder="1" applyAlignment="1">
      <alignment horizontal="center" vertical="center"/>
    </xf>
    <xf numFmtId="0" fontId="7" fillId="4" borderId="9" xfId="0" applyFont="1" applyFill="1" applyBorder="1" applyAlignment="1">
      <alignment horizontal="center" vertical="center"/>
    </xf>
    <xf numFmtId="0" fontId="7" fillId="4" borderId="0" xfId="0" applyFont="1" applyFill="1" applyAlignment="1">
      <alignment horizontal="center" vertical="center"/>
    </xf>
    <xf numFmtId="0" fontId="7" fillId="4" borderId="10" xfId="0" applyFont="1" applyFill="1" applyBorder="1" applyAlignment="1">
      <alignment horizontal="center" vertical="center"/>
    </xf>
    <xf numFmtId="0" fontId="10" fillId="6" borderId="2" xfId="0" applyFont="1" applyFill="1" applyBorder="1" applyAlignment="1">
      <alignment horizontal="center" vertical="center"/>
    </xf>
    <xf numFmtId="0" fontId="2" fillId="6" borderId="2" xfId="0" applyFont="1" applyFill="1" applyBorder="1" applyAlignment="1">
      <alignment horizontal="center" vertical="center"/>
    </xf>
    <xf numFmtId="0" fontId="11" fillId="2" borderId="14" xfId="0" applyFont="1" applyFill="1" applyBorder="1" applyAlignment="1">
      <alignment horizontal="center" vertical="center" wrapText="1"/>
    </xf>
    <xf numFmtId="164" fontId="11" fillId="2" borderId="18" xfId="0" applyNumberFormat="1" applyFont="1" applyFill="1" applyBorder="1" applyAlignment="1">
      <alignment horizontal="center" vertical="center" wrapText="1"/>
    </xf>
    <xf numFmtId="0" fontId="11" fillId="2" borderId="18" xfId="0" applyFont="1" applyFill="1" applyBorder="1" applyAlignment="1">
      <alignment horizontal="center" vertical="center" wrapText="1"/>
    </xf>
    <xf numFmtId="0" fontId="11" fillId="2" borderId="13" xfId="0" applyFont="1" applyFill="1" applyBorder="1" applyAlignment="1">
      <alignment horizontal="center" vertical="center" wrapText="1"/>
    </xf>
    <xf numFmtId="0" fontId="12" fillId="0" borderId="0" xfId="0" applyFont="1" applyAlignment="1">
      <alignment horizontal="center" vertical="center" wrapText="1"/>
    </xf>
    <xf numFmtId="0" fontId="8" fillId="0" borderId="1" xfId="0" applyNumberFormat="1" applyFont="1" applyBorder="1"/>
    <xf numFmtId="0" fontId="8" fillId="0" borderId="1" xfId="0" applyNumberFormat="1" applyFont="1" applyBorder="1" applyAlignment="1">
      <alignment horizontal="center"/>
    </xf>
  </cellXfs>
  <cellStyles count="1">
    <cellStyle name="Normal" xfId="0" builtinId="0"/>
  </cellStyles>
  <dxfs count="3228">
    <dxf>
      <font>
        <name val="Cambria"/>
        <family val="1"/>
        <scheme val="major"/>
      </font>
    </dxf>
    <dxf>
      <font>
        <name val="Cambria"/>
        <family val="1"/>
        <scheme val="major"/>
      </font>
    </dxf>
    <dxf>
      <font>
        <name val="Cambria"/>
        <family val="1"/>
        <scheme val="major"/>
      </font>
    </dxf>
    <dxf>
      <font>
        <sz val="12"/>
      </font>
    </dxf>
    <dxf>
      <font>
        <sz val="12"/>
      </font>
    </dxf>
    <dxf>
      <font>
        <sz val="12"/>
      </font>
    </dxf>
    <dxf>
      <font>
        <b val="0"/>
      </font>
    </dxf>
    <dxf>
      <font>
        <b val="0"/>
      </font>
    </dxf>
    <dxf>
      <font>
        <b val="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Cambria"/>
        <family val="1"/>
        <scheme val="major"/>
      </font>
    </dxf>
    <dxf>
      <font>
        <name val="Cambria"/>
        <family val="1"/>
        <scheme val="major"/>
      </font>
    </dxf>
    <dxf>
      <font>
        <name val="Cambria"/>
        <family val="1"/>
        <scheme val="major"/>
      </font>
    </dxf>
    <dxf>
      <font>
        <sz val="12"/>
      </font>
    </dxf>
    <dxf>
      <font>
        <sz val="12"/>
      </font>
    </dxf>
    <dxf>
      <font>
        <sz val="12"/>
      </font>
    </dxf>
    <dxf>
      <font>
        <b val="0"/>
      </font>
    </dxf>
    <dxf>
      <font>
        <b val="0"/>
      </font>
    </dxf>
    <dxf>
      <font>
        <b val="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font>
        <name val="Cambria"/>
        <family val="1"/>
        <scheme val="major"/>
      </font>
    </dxf>
    <dxf>
      <font>
        <name val="Cambria"/>
        <family val="1"/>
        <scheme val="major"/>
      </font>
    </dxf>
    <dxf>
      <font>
        <name val="Cambria"/>
        <family val="1"/>
        <scheme val="major"/>
      </font>
    </dxf>
    <dxf>
      <font>
        <name val="Cambria"/>
        <family val="1"/>
        <scheme val="major"/>
      </font>
    </dxf>
    <dxf>
      <font>
        <name val="Cambria"/>
        <family val="1"/>
        <scheme val="major"/>
      </font>
    </dxf>
    <dxf>
      <font>
        <name val="Cambria"/>
        <family val="1"/>
        <scheme val="major"/>
      </font>
    </dxf>
    <dxf>
      <font>
        <sz val="12"/>
      </font>
    </dxf>
    <dxf>
      <font>
        <sz val="12"/>
      </font>
    </dxf>
    <dxf>
      <font>
        <sz val="12"/>
      </font>
    </dxf>
    <dxf>
      <font>
        <sz val="12"/>
      </font>
    </dxf>
    <dxf>
      <font>
        <sz val="12"/>
      </font>
    </dxf>
    <dxf>
      <font>
        <sz val="12"/>
      </font>
    </dxf>
    <dxf>
      <font>
        <b val="0"/>
      </font>
    </dxf>
    <dxf>
      <font>
        <b val="0"/>
      </font>
    </dxf>
    <dxf>
      <font>
        <b val="0"/>
      </font>
    </dxf>
    <dxf>
      <font>
        <b val="0"/>
      </font>
    </dxf>
    <dxf>
      <font>
        <b val="0"/>
      </font>
    </dxf>
    <dxf>
      <font>
        <b val="0"/>
      </font>
    </dxf>
    <dxf>
      <numFmt numFmtId="0" formatCode="General"/>
    </dxf>
    <dxf>
      <font>
        <name val="Cambria"/>
        <family val="1"/>
        <scheme val="major"/>
      </font>
    </dxf>
    <dxf>
      <font>
        <name val="Cambria"/>
        <family val="1"/>
        <scheme val="major"/>
      </font>
    </dxf>
    <dxf>
      <font>
        <name val="Cambria"/>
        <family val="1"/>
        <scheme val="major"/>
      </font>
    </dxf>
    <dxf>
      <font>
        <name val="Cambria"/>
        <family val="1"/>
        <scheme val="major"/>
      </font>
    </dxf>
    <dxf>
      <font>
        <name val="Cambria"/>
        <family val="1"/>
        <scheme val="major"/>
      </font>
    </dxf>
    <dxf>
      <font>
        <name val="Cambria"/>
        <family val="1"/>
        <scheme val="major"/>
      </font>
    </dxf>
    <dxf>
      <font>
        <sz val="12"/>
      </font>
    </dxf>
    <dxf>
      <font>
        <sz val="12"/>
      </font>
    </dxf>
    <dxf>
      <font>
        <sz val="12"/>
      </font>
    </dxf>
    <dxf>
      <font>
        <sz val="12"/>
      </font>
    </dxf>
    <dxf>
      <font>
        <sz val="12"/>
      </font>
    </dxf>
    <dxf>
      <font>
        <sz val="12"/>
      </font>
    </dxf>
    <dxf>
      <font>
        <b val="0"/>
      </font>
    </dxf>
    <dxf>
      <font>
        <b val="0"/>
      </font>
    </dxf>
    <dxf>
      <font>
        <b val="0"/>
      </font>
    </dxf>
    <dxf>
      <font>
        <b val="0"/>
      </font>
    </dxf>
    <dxf>
      <font>
        <b val="0"/>
      </font>
    </dxf>
    <dxf>
      <font>
        <b val="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Cambria"/>
        <family val="1"/>
        <scheme val="major"/>
      </font>
    </dxf>
    <dxf>
      <font>
        <name val="Cambria"/>
        <family val="1"/>
        <scheme val="major"/>
      </font>
    </dxf>
    <dxf>
      <font>
        <name val="Cambria"/>
        <family val="1"/>
        <scheme val="major"/>
      </font>
    </dxf>
    <dxf>
      <font>
        <name val="Cambria"/>
        <family val="1"/>
        <scheme val="major"/>
      </font>
    </dxf>
    <dxf>
      <font>
        <name val="Cambria"/>
        <family val="1"/>
        <scheme val="major"/>
      </font>
    </dxf>
    <dxf>
      <font>
        <name val="Cambria"/>
        <family val="1"/>
        <scheme val="major"/>
      </font>
    </dxf>
    <dxf>
      <font>
        <name val="Cambria"/>
        <family val="1"/>
        <scheme val="major"/>
      </font>
    </dxf>
    <dxf>
      <font>
        <name val="Cambria"/>
        <family val="1"/>
        <scheme val="major"/>
      </font>
    </dxf>
    <dxf>
      <font>
        <name val="Cambria"/>
        <family val="1"/>
        <scheme val="major"/>
      </font>
    </dxf>
    <dxf>
      <font>
        <name val="Cambria"/>
        <family val="1"/>
        <scheme val="major"/>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b val="0"/>
      </font>
    </dxf>
    <dxf>
      <font>
        <b val="0"/>
      </font>
    </dxf>
    <dxf>
      <font>
        <b val="0"/>
      </font>
    </dxf>
    <dxf>
      <font>
        <b val="0"/>
      </font>
    </dxf>
    <dxf>
      <font>
        <b val="0"/>
      </font>
    </dxf>
    <dxf>
      <font>
        <b val="0"/>
      </font>
    </dxf>
    <dxf>
      <font>
        <b val="0"/>
      </font>
    </dxf>
    <dxf>
      <font>
        <b val="0"/>
      </font>
    </dxf>
    <dxf>
      <font>
        <b val="0"/>
      </font>
    </dxf>
    <dxf>
      <font>
        <b val="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Cambria"/>
        <family val="1"/>
        <scheme val="major"/>
      </font>
    </dxf>
    <dxf>
      <font>
        <name val="Cambria"/>
        <family val="1"/>
        <scheme val="major"/>
      </font>
    </dxf>
    <dxf>
      <font>
        <name val="Cambria"/>
        <family val="1"/>
        <scheme val="major"/>
      </font>
    </dxf>
    <dxf>
      <font>
        <name val="Cambria"/>
        <family val="1"/>
        <scheme val="major"/>
      </font>
    </dxf>
    <dxf>
      <font>
        <name val="Cambria"/>
        <family val="1"/>
        <scheme val="major"/>
      </font>
    </dxf>
    <dxf>
      <font>
        <name val="Cambria"/>
        <family val="1"/>
        <scheme val="major"/>
      </font>
    </dxf>
    <dxf>
      <font>
        <sz val="12"/>
      </font>
    </dxf>
    <dxf>
      <font>
        <sz val="12"/>
      </font>
    </dxf>
    <dxf>
      <font>
        <sz val="12"/>
      </font>
    </dxf>
    <dxf>
      <font>
        <sz val="12"/>
      </font>
    </dxf>
    <dxf>
      <font>
        <sz val="12"/>
      </font>
    </dxf>
    <dxf>
      <font>
        <sz val="12"/>
      </font>
    </dxf>
    <dxf>
      <font>
        <b val="0"/>
      </font>
    </dxf>
    <dxf>
      <font>
        <b val="0"/>
      </font>
    </dxf>
    <dxf>
      <font>
        <b val="0"/>
      </font>
    </dxf>
    <dxf>
      <font>
        <b val="0"/>
      </font>
    </dxf>
    <dxf>
      <font>
        <b val="0"/>
      </font>
    </dxf>
    <dxf>
      <font>
        <b val="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alignment horizontal="center"/>
    </dxf>
    <dxf>
      <alignment horizontal="center"/>
    </dxf>
    <dxf>
      <alignment horizontal="center"/>
    </dxf>
    <dxf>
      <font>
        <sz val="14"/>
      </font>
    </dxf>
    <dxf>
      <alignment horizontal="center"/>
    </dxf>
    <dxf>
      <font>
        <name val="Cambria"/>
        <family val="1"/>
        <scheme val="major"/>
      </font>
    </dxf>
    <dxf>
      <font>
        <name val="Cambria"/>
        <family val="1"/>
        <scheme val="major"/>
      </font>
    </dxf>
    <dxf>
      <font>
        <name val="Cambria"/>
        <family val="1"/>
        <scheme val="major"/>
      </font>
    </dxf>
    <dxf>
      <font>
        <name val="Cambria"/>
        <family val="1"/>
        <scheme val="major"/>
      </font>
    </dxf>
    <dxf>
      <font>
        <name val="Cambria"/>
        <family val="1"/>
        <scheme val="major"/>
      </font>
    </dxf>
    <dxf>
      <font>
        <name val="Cambria"/>
        <family val="1"/>
        <scheme val="major"/>
      </font>
    </dxf>
    <dxf>
      <font>
        <name val="Cambria"/>
        <family val="1"/>
        <scheme val="major"/>
      </font>
    </dxf>
    <dxf>
      <font>
        <name val="Cambria"/>
        <family val="1"/>
        <scheme val="major"/>
      </font>
    </dxf>
    <dxf>
      <font>
        <name val="Cambria"/>
        <family val="1"/>
        <scheme val="major"/>
      </font>
    </dxf>
    <dxf>
      <font>
        <name val="Cambria"/>
        <family val="1"/>
        <scheme val="major"/>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b val="0"/>
      </font>
    </dxf>
    <dxf>
      <font>
        <b val="0"/>
      </font>
    </dxf>
    <dxf>
      <font>
        <b val="0"/>
      </font>
    </dxf>
    <dxf>
      <font>
        <b val="0"/>
      </font>
    </dxf>
    <dxf>
      <font>
        <b val="0"/>
      </font>
    </dxf>
    <dxf>
      <font>
        <b val="0"/>
      </font>
    </dxf>
    <dxf>
      <font>
        <b val="0"/>
      </font>
    </dxf>
    <dxf>
      <font>
        <b val="0"/>
      </font>
    </dxf>
    <dxf>
      <font>
        <b val="0"/>
      </font>
    </dxf>
    <dxf>
      <font>
        <b val="0"/>
      </font>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Cambria"/>
        <family val="1"/>
        <scheme val="major"/>
      </font>
    </dxf>
    <dxf>
      <font>
        <name val="Cambria"/>
        <family val="1"/>
        <scheme val="major"/>
      </font>
    </dxf>
    <dxf>
      <font>
        <name val="Cambria"/>
        <family val="1"/>
        <scheme val="major"/>
      </font>
    </dxf>
    <dxf>
      <font>
        <sz val="12"/>
      </font>
    </dxf>
    <dxf>
      <font>
        <sz val="12"/>
      </font>
    </dxf>
    <dxf>
      <font>
        <sz val="12"/>
      </font>
    </dxf>
    <dxf>
      <font>
        <b val="0"/>
      </font>
    </dxf>
    <dxf>
      <font>
        <b val="0"/>
      </font>
    </dxf>
    <dxf>
      <font>
        <b val="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Cambria"/>
        <family val="1"/>
        <scheme val="major"/>
      </font>
    </dxf>
    <dxf>
      <font>
        <name val="Cambria"/>
        <family val="1"/>
        <scheme val="major"/>
      </font>
    </dxf>
    <dxf>
      <font>
        <name val="Cambria"/>
        <family val="1"/>
        <scheme val="major"/>
      </font>
    </dxf>
    <dxf>
      <font>
        <sz val="12"/>
      </font>
    </dxf>
    <dxf>
      <font>
        <sz val="12"/>
      </font>
    </dxf>
    <dxf>
      <font>
        <sz val="12"/>
      </font>
    </dxf>
    <dxf>
      <font>
        <b val="0"/>
      </font>
    </dxf>
    <dxf>
      <font>
        <b val="0"/>
      </font>
    </dxf>
    <dxf>
      <font>
        <b val="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font>
        <name val="Cambria"/>
        <family val="1"/>
        <scheme val="major"/>
      </font>
    </dxf>
    <dxf>
      <font>
        <name val="Cambria"/>
        <family val="1"/>
        <scheme val="major"/>
      </font>
    </dxf>
    <dxf>
      <font>
        <name val="Cambria"/>
        <family val="1"/>
        <scheme val="major"/>
      </font>
    </dxf>
    <dxf>
      <font>
        <name val="Cambria"/>
        <family val="1"/>
        <scheme val="major"/>
      </font>
    </dxf>
    <dxf>
      <font>
        <name val="Cambria"/>
        <family val="1"/>
        <scheme val="major"/>
      </font>
    </dxf>
    <dxf>
      <font>
        <name val="Cambria"/>
        <family val="1"/>
        <scheme val="major"/>
      </font>
    </dxf>
    <dxf>
      <font>
        <sz val="12"/>
      </font>
    </dxf>
    <dxf>
      <font>
        <sz val="12"/>
      </font>
    </dxf>
    <dxf>
      <font>
        <sz val="12"/>
      </font>
    </dxf>
    <dxf>
      <font>
        <sz val="12"/>
      </font>
    </dxf>
    <dxf>
      <font>
        <sz val="12"/>
      </font>
    </dxf>
    <dxf>
      <font>
        <sz val="12"/>
      </font>
    </dxf>
    <dxf>
      <font>
        <b val="0"/>
      </font>
    </dxf>
    <dxf>
      <font>
        <b val="0"/>
      </font>
    </dxf>
    <dxf>
      <font>
        <b val="0"/>
      </font>
    </dxf>
    <dxf>
      <font>
        <b val="0"/>
      </font>
    </dxf>
    <dxf>
      <font>
        <b val="0"/>
      </font>
    </dxf>
    <dxf>
      <font>
        <b val="0"/>
      </font>
    </dxf>
    <dxf>
      <numFmt numFmtId="0" formatCode="General"/>
    </dxf>
    <dxf>
      <font>
        <name val="Cambria"/>
        <family val="1"/>
        <scheme val="major"/>
      </font>
    </dxf>
    <dxf>
      <font>
        <name val="Cambria"/>
        <family val="1"/>
        <scheme val="major"/>
      </font>
    </dxf>
    <dxf>
      <font>
        <name val="Cambria"/>
        <family val="1"/>
        <scheme val="major"/>
      </font>
    </dxf>
    <dxf>
      <font>
        <name val="Cambria"/>
        <family val="1"/>
        <scheme val="major"/>
      </font>
    </dxf>
    <dxf>
      <font>
        <name val="Cambria"/>
        <family val="1"/>
        <scheme val="major"/>
      </font>
    </dxf>
    <dxf>
      <font>
        <name val="Cambria"/>
        <family val="1"/>
        <scheme val="major"/>
      </font>
    </dxf>
    <dxf>
      <font>
        <sz val="12"/>
      </font>
    </dxf>
    <dxf>
      <font>
        <sz val="12"/>
      </font>
    </dxf>
    <dxf>
      <font>
        <sz val="12"/>
      </font>
    </dxf>
    <dxf>
      <font>
        <sz val="12"/>
      </font>
    </dxf>
    <dxf>
      <font>
        <sz val="12"/>
      </font>
    </dxf>
    <dxf>
      <font>
        <sz val="12"/>
      </font>
    </dxf>
    <dxf>
      <font>
        <b val="0"/>
      </font>
    </dxf>
    <dxf>
      <font>
        <b val="0"/>
      </font>
    </dxf>
    <dxf>
      <font>
        <b val="0"/>
      </font>
    </dxf>
    <dxf>
      <font>
        <b val="0"/>
      </font>
    </dxf>
    <dxf>
      <font>
        <b val="0"/>
      </font>
    </dxf>
    <dxf>
      <font>
        <b val="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Cambria"/>
        <family val="1"/>
        <scheme val="major"/>
      </font>
    </dxf>
    <dxf>
      <font>
        <name val="Cambria"/>
        <family val="1"/>
        <scheme val="major"/>
      </font>
    </dxf>
    <dxf>
      <font>
        <name val="Cambria"/>
        <family val="1"/>
        <scheme val="major"/>
      </font>
    </dxf>
    <dxf>
      <font>
        <name val="Cambria"/>
        <family val="1"/>
        <scheme val="major"/>
      </font>
    </dxf>
    <dxf>
      <font>
        <name val="Cambria"/>
        <family val="1"/>
        <scheme val="major"/>
      </font>
    </dxf>
    <dxf>
      <font>
        <name val="Cambria"/>
        <family val="1"/>
        <scheme val="major"/>
      </font>
    </dxf>
    <dxf>
      <font>
        <name val="Cambria"/>
        <family val="1"/>
        <scheme val="major"/>
      </font>
    </dxf>
    <dxf>
      <font>
        <name val="Cambria"/>
        <family val="1"/>
        <scheme val="major"/>
      </font>
    </dxf>
    <dxf>
      <font>
        <name val="Cambria"/>
        <family val="1"/>
        <scheme val="major"/>
      </font>
    </dxf>
    <dxf>
      <font>
        <name val="Cambria"/>
        <family val="1"/>
        <scheme val="major"/>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b val="0"/>
      </font>
    </dxf>
    <dxf>
      <font>
        <b val="0"/>
      </font>
    </dxf>
    <dxf>
      <font>
        <b val="0"/>
      </font>
    </dxf>
    <dxf>
      <font>
        <b val="0"/>
      </font>
    </dxf>
    <dxf>
      <font>
        <b val="0"/>
      </font>
    </dxf>
    <dxf>
      <font>
        <b val="0"/>
      </font>
    </dxf>
    <dxf>
      <font>
        <b val="0"/>
      </font>
    </dxf>
    <dxf>
      <font>
        <b val="0"/>
      </font>
    </dxf>
    <dxf>
      <font>
        <b val="0"/>
      </font>
    </dxf>
    <dxf>
      <font>
        <b val="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Cambria"/>
        <family val="1"/>
        <scheme val="major"/>
      </font>
    </dxf>
    <dxf>
      <font>
        <name val="Cambria"/>
        <family val="1"/>
        <scheme val="major"/>
      </font>
    </dxf>
    <dxf>
      <font>
        <name val="Cambria"/>
        <family val="1"/>
        <scheme val="major"/>
      </font>
    </dxf>
    <dxf>
      <font>
        <name val="Cambria"/>
        <family val="1"/>
        <scheme val="major"/>
      </font>
    </dxf>
    <dxf>
      <font>
        <name val="Cambria"/>
        <family val="1"/>
        <scheme val="major"/>
      </font>
    </dxf>
    <dxf>
      <font>
        <name val="Cambria"/>
        <family val="1"/>
        <scheme val="major"/>
      </font>
    </dxf>
    <dxf>
      <font>
        <sz val="12"/>
      </font>
    </dxf>
    <dxf>
      <font>
        <sz val="12"/>
      </font>
    </dxf>
    <dxf>
      <font>
        <sz val="12"/>
      </font>
    </dxf>
    <dxf>
      <font>
        <sz val="12"/>
      </font>
    </dxf>
    <dxf>
      <font>
        <sz val="12"/>
      </font>
    </dxf>
    <dxf>
      <font>
        <sz val="12"/>
      </font>
    </dxf>
    <dxf>
      <font>
        <b val="0"/>
      </font>
    </dxf>
    <dxf>
      <font>
        <b val="0"/>
      </font>
    </dxf>
    <dxf>
      <font>
        <b val="0"/>
      </font>
    </dxf>
    <dxf>
      <font>
        <b val="0"/>
      </font>
    </dxf>
    <dxf>
      <font>
        <b val="0"/>
      </font>
    </dxf>
    <dxf>
      <font>
        <b val="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alignment horizontal="center"/>
    </dxf>
    <dxf>
      <alignment horizontal="center"/>
    </dxf>
    <dxf>
      <alignment horizontal="center"/>
    </dxf>
    <dxf>
      <font>
        <sz val="14"/>
      </font>
    </dxf>
    <dxf>
      <alignment horizontal="center"/>
    </dxf>
    <dxf>
      <font>
        <name val="Cambria"/>
        <family val="1"/>
        <scheme val="major"/>
      </font>
    </dxf>
    <dxf>
      <font>
        <name val="Cambria"/>
        <family val="1"/>
        <scheme val="major"/>
      </font>
    </dxf>
    <dxf>
      <font>
        <name val="Cambria"/>
        <family val="1"/>
        <scheme val="major"/>
      </font>
    </dxf>
    <dxf>
      <font>
        <name val="Cambria"/>
        <family val="1"/>
        <scheme val="major"/>
      </font>
    </dxf>
    <dxf>
      <font>
        <name val="Cambria"/>
        <family val="1"/>
        <scheme val="major"/>
      </font>
    </dxf>
    <dxf>
      <font>
        <name val="Cambria"/>
        <family val="1"/>
        <scheme val="major"/>
      </font>
    </dxf>
    <dxf>
      <font>
        <name val="Cambria"/>
        <family val="1"/>
        <scheme val="major"/>
      </font>
    </dxf>
    <dxf>
      <font>
        <name val="Cambria"/>
        <family val="1"/>
        <scheme val="major"/>
      </font>
    </dxf>
    <dxf>
      <font>
        <name val="Cambria"/>
        <family val="1"/>
        <scheme val="major"/>
      </font>
    </dxf>
    <dxf>
      <font>
        <name val="Cambria"/>
        <family val="1"/>
        <scheme val="major"/>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b val="0"/>
      </font>
    </dxf>
    <dxf>
      <font>
        <b val="0"/>
      </font>
    </dxf>
    <dxf>
      <font>
        <b val="0"/>
      </font>
    </dxf>
    <dxf>
      <font>
        <b val="0"/>
      </font>
    </dxf>
    <dxf>
      <font>
        <b val="0"/>
      </font>
    </dxf>
    <dxf>
      <font>
        <b val="0"/>
      </font>
    </dxf>
    <dxf>
      <font>
        <b val="0"/>
      </font>
    </dxf>
    <dxf>
      <font>
        <b val="0"/>
      </font>
    </dxf>
    <dxf>
      <font>
        <b val="0"/>
      </font>
    </dxf>
    <dxf>
      <font>
        <b val="0"/>
      </font>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Cambria"/>
        <family val="1"/>
        <scheme val="major"/>
      </font>
    </dxf>
    <dxf>
      <font>
        <name val="Cambria"/>
        <family val="1"/>
        <scheme val="major"/>
      </font>
    </dxf>
    <dxf>
      <font>
        <name val="Cambria"/>
        <family val="1"/>
        <scheme val="major"/>
      </font>
    </dxf>
    <dxf>
      <font>
        <sz val="12"/>
      </font>
    </dxf>
    <dxf>
      <font>
        <sz val="12"/>
      </font>
    </dxf>
    <dxf>
      <font>
        <sz val="12"/>
      </font>
    </dxf>
    <dxf>
      <font>
        <b val="0"/>
      </font>
    </dxf>
    <dxf>
      <font>
        <b val="0"/>
      </font>
    </dxf>
    <dxf>
      <font>
        <b val="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Cambria"/>
        <family val="1"/>
        <scheme val="major"/>
      </font>
    </dxf>
    <dxf>
      <font>
        <name val="Cambria"/>
        <family val="1"/>
        <scheme val="major"/>
      </font>
    </dxf>
    <dxf>
      <font>
        <name val="Cambria"/>
        <family val="1"/>
        <scheme val="major"/>
      </font>
    </dxf>
    <dxf>
      <font>
        <sz val="12"/>
      </font>
    </dxf>
    <dxf>
      <font>
        <sz val="12"/>
      </font>
    </dxf>
    <dxf>
      <font>
        <sz val="12"/>
      </font>
    </dxf>
    <dxf>
      <font>
        <b val="0"/>
      </font>
    </dxf>
    <dxf>
      <font>
        <b val="0"/>
      </font>
    </dxf>
    <dxf>
      <font>
        <b val="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font>
        <name val="Cambria"/>
        <family val="1"/>
        <scheme val="major"/>
      </font>
    </dxf>
    <dxf>
      <font>
        <name val="Cambria"/>
        <family val="1"/>
        <scheme val="major"/>
      </font>
    </dxf>
    <dxf>
      <font>
        <name val="Cambria"/>
        <family val="1"/>
        <scheme val="major"/>
      </font>
    </dxf>
    <dxf>
      <font>
        <name val="Cambria"/>
        <family val="1"/>
        <scheme val="major"/>
      </font>
    </dxf>
    <dxf>
      <font>
        <name val="Cambria"/>
        <family val="1"/>
        <scheme val="major"/>
      </font>
    </dxf>
    <dxf>
      <font>
        <name val="Cambria"/>
        <family val="1"/>
        <scheme val="major"/>
      </font>
    </dxf>
    <dxf>
      <font>
        <sz val="12"/>
      </font>
    </dxf>
    <dxf>
      <font>
        <sz val="12"/>
      </font>
    </dxf>
    <dxf>
      <font>
        <sz val="12"/>
      </font>
    </dxf>
    <dxf>
      <font>
        <sz val="12"/>
      </font>
    </dxf>
    <dxf>
      <font>
        <sz val="12"/>
      </font>
    </dxf>
    <dxf>
      <font>
        <sz val="12"/>
      </font>
    </dxf>
    <dxf>
      <font>
        <b val="0"/>
      </font>
    </dxf>
    <dxf>
      <font>
        <b val="0"/>
      </font>
    </dxf>
    <dxf>
      <font>
        <b val="0"/>
      </font>
    </dxf>
    <dxf>
      <font>
        <b val="0"/>
      </font>
    </dxf>
    <dxf>
      <font>
        <b val="0"/>
      </font>
    </dxf>
    <dxf>
      <font>
        <b val="0"/>
      </font>
    </dxf>
    <dxf>
      <numFmt numFmtId="0" formatCode="General"/>
    </dxf>
    <dxf>
      <font>
        <name val="Cambria"/>
        <family val="1"/>
        <scheme val="major"/>
      </font>
    </dxf>
    <dxf>
      <font>
        <name val="Cambria"/>
        <family val="1"/>
        <scheme val="major"/>
      </font>
    </dxf>
    <dxf>
      <font>
        <name val="Cambria"/>
        <family val="1"/>
        <scheme val="major"/>
      </font>
    </dxf>
    <dxf>
      <font>
        <name val="Cambria"/>
        <family val="1"/>
        <scheme val="major"/>
      </font>
    </dxf>
    <dxf>
      <font>
        <name val="Cambria"/>
        <family val="1"/>
        <scheme val="major"/>
      </font>
    </dxf>
    <dxf>
      <font>
        <name val="Cambria"/>
        <family val="1"/>
        <scheme val="major"/>
      </font>
    </dxf>
    <dxf>
      <font>
        <sz val="12"/>
      </font>
    </dxf>
    <dxf>
      <font>
        <sz val="12"/>
      </font>
    </dxf>
    <dxf>
      <font>
        <sz val="12"/>
      </font>
    </dxf>
    <dxf>
      <font>
        <sz val="12"/>
      </font>
    </dxf>
    <dxf>
      <font>
        <sz val="12"/>
      </font>
    </dxf>
    <dxf>
      <font>
        <sz val="12"/>
      </font>
    </dxf>
    <dxf>
      <font>
        <b val="0"/>
      </font>
    </dxf>
    <dxf>
      <font>
        <b val="0"/>
      </font>
    </dxf>
    <dxf>
      <font>
        <b val="0"/>
      </font>
    </dxf>
    <dxf>
      <font>
        <b val="0"/>
      </font>
    </dxf>
    <dxf>
      <font>
        <b val="0"/>
      </font>
    </dxf>
    <dxf>
      <font>
        <b val="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Cambria"/>
        <family val="1"/>
        <scheme val="major"/>
      </font>
    </dxf>
    <dxf>
      <font>
        <name val="Cambria"/>
        <family val="1"/>
        <scheme val="major"/>
      </font>
    </dxf>
    <dxf>
      <font>
        <name val="Cambria"/>
        <family val="1"/>
        <scheme val="major"/>
      </font>
    </dxf>
    <dxf>
      <font>
        <name val="Cambria"/>
        <family val="1"/>
        <scheme val="major"/>
      </font>
    </dxf>
    <dxf>
      <font>
        <name val="Cambria"/>
        <family val="1"/>
        <scheme val="major"/>
      </font>
    </dxf>
    <dxf>
      <font>
        <name val="Cambria"/>
        <family val="1"/>
        <scheme val="major"/>
      </font>
    </dxf>
    <dxf>
      <font>
        <name val="Cambria"/>
        <family val="1"/>
        <scheme val="major"/>
      </font>
    </dxf>
    <dxf>
      <font>
        <name val="Cambria"/>
        <family val="1"/>
        <scheme val="major"/>
      </font>
    </dxf>
    <dxf>
      <font>
        <name val="Cambria"/>
        <family val="1"/>
        <scheme val="major"/>
      </font>
    </dxf>
    <dxf>
      <font>
        <name val="Cambria"/>
        <family val="1"/>
        <scheme val="major"/>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b val="0"/>
      </font>
    </dxf>
    <dxf>
      <font>
        <b val="0"/>
      </font>
    </dxf>
    <dxf>
      <font>
        <b val="0"/>
      </font>
    </dxf>
    <dxf>
      <font>
        <b val="0"/>
      </font>
    </dxf>
    <dxf>
      <font>
        <b val="0"/>
      </font>
    </dxf>
    <dxf>
      <font>
        <b val="0"/>
      </font>
    </dxf>
    <dxf>
      <font>
        <b val="0"/>
      </font>
    </dxf>
    <dxf>
      <font>
        <b val="0"/>
      </font>
    </dxf>
    <dxf>
      <font>
        <b val="0"/>
      </font>
    </dxf>
    <dxf>
      <font>
        <b val="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Cambria"/>
        <family val="1"/>
        <scheme val="major"/>
      </font>
    </dxf>
    <dxf>
      <font>
        <name val="Cambria"/>
        <family val="1"/>
        <scheme val="major"/>
      </font>
    </dxf>
    <dxf>
      <font>
        <name val="Cambria"/>
        <family val="1"/>
        <scheme val="major"/>
      </font>
    </dxf>
    <dxf>
      <font>
        <name val="Cambria"/>
        <family val="1"/>
        <scheme val="major"/>
      </font>
    </dxf>
    <dxf>
      <font>
        <name val="Cambria"/>
        <family val="1"/>
        <scheme val="major"/>
      </font>
    </dxf>
    <dxf>
      <font>
        <name val="Cambria"/>
        <family val="1"/>
        <scheme val="major"/>
      </font>
    </dxf>
    <dxf>
      <font>
        <sz val="12"/>
      </font>
    </dxf>
    <dxf>
      <font>
        <sz val="12"/>
      </font>
    </dxf>
    <dxf>
      <font>
        <sz val="12"/>
      </font>
    </dxf>
    <dxf>
      <font>
        <sz val="12"/>
      </font>
    </dxf>
    <dxf>
      <font>
        <sz val="12"/>
      </font>
    </dxf>
    <dxf>
      <font>
        <sz val="12"/>
      </font>
    </dxf>
    <dxf>
      <font>
        <b val="0"/>
      </font>
    </dxf>
    <dxf>
      <font>
        <b val="0"/>
      </font>
    </dxf>
    <dxf>
      <font>
        <b val="0"/>
      </font>
    </dxf>
    <dxf>
      <font>
        <b val="0"/>
      </font>
    </dxf>
    <dxf>
      <font>
        <b val="0"/>
      </font>
    </dxf>
    <dxf>
      <font>
        <b val="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alignment horizontal="center"/>
    </dxf>
    <dxf>
      <alignment horizontal="center"/>
    </dxf>
    <dxf>
      <alignment horizontal="center"/>
    </dxf>
    <dxf>
      <font>
        <sz val="14"/>
      </font>
    </dxf>
    <dxf>
      <alignment horizontal="center"/>
    </dxf>
    <dxf>
      <font>
        <name val="Cambria"/>
        <family val="1"/>
        <scheme val="major"/>
      </font>
    </dxf>
    <dxf>
      <font>
        <name val="Cambria"/>
        <family val="1"/>
        <scheme val="major"/>
      </font>
    </dxf>
    <dxf>
      <font>
        <name val="Cambria"/>
        <family val="1"/>
        <scheme val="major"/>
      </font>
    </dxf>
    <dxf>
      <font>
        <name val="Cambria"/>
        <family val="1"/>
        <scheme val="major"/>
      </font>
    </dxf>
    <dxf>
      <font>
        <name val="Cambria"/>
        <family val="1"/>
        <scheme val="major"/>
      </font>
    </dxf>
    <dxf>
      <font>
        <name val="Cambria"/>
        <family val="1"/>
        <scheme val="major"/>
      </font>
    </dxf>
    <dxf>
      <font>
        <name val="Cambria"/>
        <family val="1"/>
        <scheme val="major"/>
      </font>
    </dxf>
    <dxf>
      <font>
        <name val="Cambria"/>
        <family val="1"/>
        <scheme val="major"/>
      </font>
    </dxf>
    <dxf>
      <font>
        <name val="Cambria"/>
        <family val="1"/>
        <scheme val="major"/>
      </font>
    </dxf>
    <dxf>
      <font>
        <name val="Cambria"/>
        <family val="1"/>
        <scheme val="major"/>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b val="0"/>
      </font>
    </dxf>
    <dxf>
      <font>
        <b val="0"/>
      </font>
    </dxf>
    <dxf>
      <font>
        <b val="0"/>
      </font>
    </dxf>
    <dxf>
      <font>
        <b val="0"/>
      </font>
    </dxf>
    <dxf>
      <font>
        <b val="0"/>
      </font>
    </dxf>
    <dxf>
      <font>
        <b val="0"/>
      </font>
    </dxf>
    <dxf>
      <font>
        <b val="0"/>
      </font>
    </dxf>
    <dxf>
      <font>
        <b val="0"/>
      </font>
    </dxf>
    <dxf>
      <font>
        <b val="0"/>
      </font>
    </dxf>
    <dxf>
      <font>
        <b val="0"/>
      </font>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Cambria"/>
        <family val="1"/>
        <scheme val="major"/>
      </font>
    </dxf>
    <dxf>
      <font>
        <name val="Cambria"/>
        <family val="1"/>
        <scheme val="major"/>
      </font>
    </dxf>
    <dxf>
      <font>
        <name val="Cambria"/>
        <family val="1"/>
        <scheme val="major"/>
      </font>
    </dxf>
    <dxf>
      <font>
        <sz val="12"/>
      </font>
    </dxf>
    <dxf>
      <font>
        <sz val="12"/>
      </font>
    </dxf>
    <dxf>
      <font>
        <sz val="12"/>
      </font>
    </dxf>
    <dxf>
      <font>
        <b val="0"/>
      </font>
    </dxf>
    <dxf>
      <font>
        <b val="0"/>
      </font>
    </dxf>
    <dxf>
      <font>
        <b val="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Cambria"/>
        <family val="1"/>
        <scheme val="major"/>
      </font>
    </dxf>
    <dxf>
      <font>
        <name val="Cambria"/>
        <family val="1"/>
        <scheme val="major"/>
      </font>
    </dxf>
    <dxf>
      <font>
        <name val="Cambria"/>
        <family val="1"/>
        <scheme val="major"/>
      </font>
    </dxf>
    <dxf>
      <font>
        <sz val="12"/>
      </font>
    </dxf>
    <dxf>
      <font>
        <sz val="12"/>
      </font>
    </dxf>
    <dxf>
      <font>
        <sz val="12"/>
      </font>
    </dxf>
    <dxf>
      <font>
        <b val="0"/>
      </font>
    </dxf>
    <dxf>
      <font>
        <b val="0"/>
      </font>
    </dxf>
    <dxf>
      <font>
        <b val="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font>
        <name val="Cambria"/>
        <family val="1"/>
        <scheme val="major"/>
      </font>
    </dxf>
    <dxf>
      <font>
        <name val="Cambria"/>
        <family val="1"/>
        <scheme val="major"/>
      </font>
    </dxf>
    <dxf>
      <font>
        <name val="Cambria"/>
        <family val="1"/>
        <scheme val="major"/>
      </font>
    </dxf>
    <dxf>
      <font>
        <name val="Cambria"/>
        <family val="1"/>
        <scheme val="major"/>
      </font>
    </dxf>
    <dxf>
      <font>
        <name val="Cambria"/>
        <family val="1"/>
        <scheme val="major"/>
      </font>
    </dxf>
    <dxf>
      <font>
        <name val="Cambria"/>
        <family val="1"/>
        <scheme val="major"/>
      </font>
    </dxf>
    <dxf>
      <font>
        <sz val="12"/>
      </font>
    </dxf>
    <dxf>
      <font>
        <sz val="12"/>
      </font>
    </dxf>
    <dxf>
      <font>
        <sz val="12"/>
      </font>
    </dxf>
    <dxf>
      <font>
        <sz val="12"/>
      </font>
    </dxf>
    <dxf>
      <font>
        <sz val="12"/>
      </font>
    </dxf>
    <dxf>
      <font>
        <sz val="12"/>
      </font>
    </dxf>
    <dxf>
      <font>
        <b val="0"/>
      </font>
    </dxf>
    <dxf>
      <font>
        <b val="0"/>
      </font>
    </dxf>
    <dxf>
      <font>
        <b val="0"/>
      </font>
    </dxf>
    <dxf>
      <font>
        <b val="0"/>
      </font>
    </dxf>
    <dxf>
      <font>
        <b val="0"/>
      </font>
    </dxf>
    <dxf>
      <font>
        <b val="0"/>
      </font>
    </dxf>
    <dxf>
      <numFmt numFmtId="0" formatCode="General"/>
    </dxf>
    <dxf>
      <font>
        <name val="Cambria"/>
        <family val="1"/>
        <scheme val="major"/>
      </font>
    </dxf>
    <dxf>
      <font>
        <name val="Cambria"/>
        <family val="1"/>
        <scheme val="major"/>
      </font>
    </dxf>
    <dxf>
      <font>
        <name val="Cambria"/>
        <family val="1"/>
        <scheme val="major"/>
      </font>
    </dxf>
    <dxf>
      <font>
        <name val="Cambria"/>
        <family val="1"/>
        <scheme val="major"/>
      </font>
    </dxf>
    <dxf>
      <font>
        <name val="Cambria"/>
        <family val="1"/>
        <scheme val="major"/>
      </font>
    </dxf>
    <dxf>
      <font>
        <name val="Cambria"/>
        <family val="1"/>
        <scheme val="major"/>
      </font>
    </dxf>
    <dxf>
      <font>
        <sz val="12"/>
      </font>
    </dxf>
    <dxf>
      <font>
        <sz val="12"/>
      </font>
    </dxf>
    <dxf>
      <font>
        <sz val="12"/>
      </font>
    </dxf>
    <dxf>
      <font>
        <sz val="12"/>
      </font>
    </dxf>
    <dxf>
      <font>
        <sz val="12"/>
      </font>
    </dxf>
    <dxf>
      <font>
        <sz val="12"/>
      </font>
    </dxf>
    <dxf>
      <font>
        <b val="0"/>
      </font>
    </dxf>
    <dxf>
      <font>
        <b val="0"/>
      </font>
    </dxf>
    <dxf>
      <font>
        <b val="0"/>
      </font>
    </dxf>
    <dxf>
      <font>
        <b val="0"/>
      </font>
    </dxf>
    <dxf>
      <font>
        <b val="0"/>
      </font>
    </dxf>
    <dxf>
      <font>
        <b val="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Cambria"/>
        <family val="1"/>
        <scheme val="major"/>
      </font>
    </dxf>
    <dxf>
      <font>
        <name val="Cambria"/>
        <family val="1"/>
        <scheme val="major"/>
      </font>
    </dxf>
    <dxf>
      <font>
        <name val="Cambria"/>
        <family val="1"/>
        <scheme val="major"/>
      </font>
    </dxf>
    <dxf>
      <font>
        <name val="Cambria"/>
        <family val="1"/>
        <scheme val="major"/>
      </font>
    </dxf>
    <dxf>
      <font>
        <name val="Cambria"/>
        <family val="1"/>
        <scheme val="major"/>
      </font>
    </dxf>
    <dxf>
      <font>
        <name val="Cambria"/>
        <family val="1"/>
        <scheme val="major"/>
      </font>
    </dxf>
    <dxf>
      <font>
        <name val="Cambria"/>
        <family val="1"/>
        <scheme val="major"/>
      </font>
    </dxf>
    <dxf>
      <font>
        <name val="Cambria"/>
        <family val="1"/>
        <scheme val="major"/>
      </font>
    </dxf>
    <dxf>
      <font>
        <name val="Cambria"/>
        <family val="1"/>
        <scheme val="major"/>
      </font>
    </dxf>
    <dxf>
      <font>
        <name val="Cambria"/>
        <family val="1"/>
        <scheme val="major"/>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b val="0"/>
      </font>
    </dxf>
    <dxf>
      <font>
        <b val="0"/>
      </font>
    </dxf>
    <dxf>
      <font>
        <b val="0"/>
      </font>
    </dxf>
    <dxf>
      <font>
        <b val="0"/>
      </font>
    </dxf>
    <dxf>
      <font>
        <b val="0"/>
      </font>
    </dxf>
    <dxf>
      <font>
        <b val="0"/>
      </font>
    </dxf>
    <dxf>
      <font>
        <b val="0"/>
      </font>
    </dxf>
    <dxf>
      <font>
        <b val="0"/>
      </font>
    </dxf>
    <dxf>
      <font>
        <b val="0"/>
      </font>
    </dxf>
    <dxf>
      <font>
        <b val="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Cambria"/>
        <family val="1"/>
        <scheme val="major"/>
      </font>
    </dxf>
    <dxf>
      <font>
        <name val="Cambria"/>
        <family val="1"/>
        <scheme val="major"/>
      </font>
    </dxf>
    <dxf>
      <font>
        <name val="Cambria"/>
        <family val="1"/>
        <scheme val="major"/>
      </font>
    </dxf>
    <dxf>
      <font>
        <name val="Cambria"/>
        <family val="1"/>
        <scheme val="major"/>
      </font>
    </dxf>
    <dxf>
      <font>
        <name val="Cambria"/>
        <family val="1"/>
        <scheme val="major"/>
      </font>
    </dxf>
    <dxf>
      <font>
        <name val="Cambria"/>
        <family val="1"/>
        <scheme val="major"/>
      </font>
    </dxf>
    <dxf>
      <font>
        <sz val="12"/>
      </font>
    </dxf>
    <dxf>
      <font>
        <sz val="12"/>
      </font>
    </dxf>
    <dxf>
      <font>
        <sz val="12"/>
      </font>
    </dxf>
    <dxf>
      <font>
        <sz val="12"/>
      </font>
    </dxf>
    <dxf>
      <font>
        <sz val="12"/>
      </font>
    </dxf>
    <dxf>
      <font>
        <sz val="12"/>
      </font>
    </dxf>
    <dxf>
      <font>
        <b val="0"/>
      </font>
    </dxf>
    <dxf>
      <font>
        <b val="0"/>
      </font>
    </dxf>
    <dxf>
      <font>
        <b val="0"/>
      </font>
    </dxf>
    <dxf>
      <font>
        <b val="0"/>
      </font>
    </dxf>
    <dxf>
      <font>
        <b val="0"/>
      </font>
    </dxf>
    <dxf>
      <font>
        <b val="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alignment horizontal="center"/>
    </dxf>
    <dxf>
      <alignment horizontal="center"/>
    </dxf>
    <dxf>
      <alignment horizontal="center"/>
    </dxf>
    <dxf>
      <font>
        <sz val="14"/>
      </font>
    </dxf>
    <dxf>
      <alignment horizontal="center"/>
    </dxf>
    <dxf>
      <font>
        <name val="Cambria"/>
        <family val="1"/>
        <scheme val="major"/>
      </font>
    </dxf>
    <dxf>
      <font>
        <name val="Cambria"/>
        <family val="1"/>
        <scheme val="major"/>
      </font>
    </dxf>
    <dxf>
      <font>
        <name val="Cambria"/>
        <family val="1"/>
        <scheme val="major"/>
      </font>
    </dxf>
    <dxf>
      <font>
        <name val="Cambria"/>
        <family val="1"/>
        <scheme val="major"/>
      </font>
    </dxf>
    <dxf>
      <font>
        <name val="Cambria"/>
        <family val="1"/>
        <scheme val="major"/>
      </font>
    </dxf>
    <dxf>
      <font>
        <name val="Cambria"/>
        <family val="1"/>
        <scheme val="major"/>
      </font>
    </dxf>
    <dxf>
      <font>
        <name val="Cambria"/>
        <family val="1"/>
        <scheme val="major"/>
      </font>
    </dxf>
    <dxf>
      <font>
        <name val="Cambria"/>
        <family val="1"/>
        <scheme val="major"/>
      </font>
    </dxf>
    <dxf>
      <font>
        <name val="Cambria"/>
        <family val="1"/>
        <scheme val="major"/>
      </font>
    </dxf>
    <dxf>
      <font>
        <name val="Cambria"/>
        <family val="1"/>
        <scheme val="major"/>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b val="0"/>
      </font>
    </dxf>
    <dxf>
      <font>
        <b val="0"/>
      </font>
    </dxf>
    <dxf>
      <font>
        <b val="0"/>
      </font>
    </dxf>
    <dxf>
      <font>
        <b val="0"/>
      </font>
    </dxf>
    <dxf>
      <font>
        <b val="0"/>
      </font>
    </dxf>
    <dxf>
      <font>
        <b val="0"/>
      </font>
    </dxf>
    <dxf>
      <font>
        <b val="0"/>
      </font>
    </dxf>
    <dxf>
      <font>
        <b val="0"/>
      </font>
    </dxf>
    <dxf>
      <font>
        <b val="0"/>
      </font>
    </dxf>
    <dxf>
      <font>
        <b val="0"/>
      </font>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Cambria"/>
        <family val="1"/>
        <scheme val="major"/>
      </font>
    </dxf>
    <dxf>
      <font>
        <name val="Cambria"/>
        <family val="1"/>
        <scheme val="major"/>
      </font>
    </dxf>
    <dxf>
      <font>
        <name val="Cambria"/>
        <family val="1"/>
        <scheme val="major"/>
      </font>
    </dxf>
    <dxf>
      <font>
        <sz val="12"/>
      </font>
    </dxf>
    <dxf>
      <font>
        <sz val="12"/>
      </font>
    </dxf>
    <dxf>
      <font>
        <sz val="12"/>
      </font>
    </dxf>
    <dxf>
      <font>
        <b val="0"/>
      </font>
    </dxf>
    <dxf>
      <font>
        <b val="0"/>
      </font>
    </dxf>
    <dxf>
      <font>
        <b val="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Cambria"/>
        <family val="1"/>
        <scheme val="major"/>
      </font>
    </dxf>
    <dxf>
      <font>
        <name val="Cambria"/>
        <family val="1"/>
        <scheme val="major"/>
      </font>
    </dxf>
    <dxf>
      <font>
        <name val="Cambria"/>
        <family val="1"/>
        <scheme val="major"/>
      </font>
    </dxf>
    <dxf>
      <font>
        <sz val="12"/>
      </font>
    </dxf>
    <dxf>
      <font>
        <sz val="12"/>
      </font>
    </dxf>
    <dxf>
      <font>
        <sz val="12"/>
      </font>
    </dxf>
    <dxf>
      <font>
        <b val="0"/>
      </font>
    </dxf>
    <dxf>
      <font>
        <b val="0"/>
      </font>
    </dxf>
    <dxf>
      <font>
        <b val="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font>
        <name val="Cambria"/>
        <family val="1"/>
        <scheme val="major"/>
      </font>
    </dxf>
    <dxf>
      <font>
        <name val="Cambria"/>
        <family val="1"/>
        <scheme val="major"/>
      </font>
    </dxf>
    <dxf>
      <font>
        <name val="Cambria"/>
        <family val="1"/>
        <scheme val="major"/>
      </font>
    </dxf>
    <dxf>
      <font>
        <name val="Cambria"/>
        <family val="1"/>
        <scheme val="major"/>
      </font>
    </dxf>
    <dxf>
      <font>
        <name val="Cambria"/>
        <family val="1"/>
        <scheme val="major"/>
      </font>
    </dxf>
    <dxf>
      <font>
        <name val="Cambria"/>
        <family val="1"/>
        <scheme val="major"/>
      </font>
    </dxf>
    <dxf>
      <font>
        <sz val="12"/>
      </font>
    </dxf>
    <dxf>
      <font>
        <sz val="12"/>
      </font>
    </dxf>
    <dxf>
      <font>
        <sz val="12"/>
      </font>
    </dxf>
    <dxf>
      <font>
        <sz val="12"/>
      </font>
    </dxf>
    <dxf>
      <font>
        <sz val="12"/>
      </font>
    </dxf>
    <dxf>
      <font>
        <sz val="12"/>
      </font>
    </dxf>
    <dxf>
      <font>
        <b val="0"/>
      </font>
    </dxf>
    <dxf>
      <font>
        <b val="0"/>
      </font>
    </dxf>
    <dxf>
      <font>
        <b val="0"/>
      </font>
    </dxf>
    <dxf>
      <font>
        <b val="0"/>
      </font>
    </dxf>
    <dxf>
      <font>
        <b val="0"/>
      </font>
    </dxf>
    <dxf>
      <font>
        <b val="0"/>
      </font>
    </dxf>
    <dxf>
      <numFmt numFmtId="0" formatCode="General"/>
    </dxf>
    <dxf>
      <font>
        <name val="Cambria"/>
        <family val="1"/>
        <scheme val="major"/>
      </font>
    </dxf>
    <dxf>
      <font>
        <name val="Cambria"/>
        <family val="1"/>
        <scheme val="major"/>
      </font>
    </dxf>
    <dxf>
      <font>
        <name val="Cambria"/>
        <family val="1"/>
        <scheme val="major"/>
      </font>
    </dxf>
    <dxf>
      <font>
        <name val="Cambria"/>
        <family val="1"/>
        <scheme val="major"/>
      </font>
    </dxf>
    <dxf>
      <font>
        <name val="Cambria"/>
        <family val="1"/>
        <scheme val="major"/>
      </font>
    </dxf>
    <dxf>
      <font>
        <name val="Cambria"/>
        <family val="1"/>
        <scheme val="major"/>
      </font>
    </dxf>
    <dxf>
      <font>
        <sz val="12"/>
      </font>
    </dxf>
    <dxf>
      <font>
        <sz val="12"/>
      </font>
    </dxf>
    <dxf>
      <font>
        <sz val="12"/>
      </font>
    </dxf>
    <dxf>
      <font>
        <sz val="12"/>
      </font>
    </dxf>
    <dxf>
      <font>
        <sz val="12"/>
      </font>
    </dxf>
    <dxf>
      <font>
        <sz val="12"/>
      </font>
    </dxf>
    <dxf>
      <font>
        <b val="0"/>
      </font>
    </dxf>
    <dxf>
      <font>
        <b val="0"/>
      </font>
    </dxf>
    <dxf>
      <font>
        <b val="0"/>
      </font>
    </dxf>
    <dxf>
      <font>
        <b val="0"/>
      </font>
    </dxf>
    <dxf>
      <font>
        <b val="0"/>
      </font>
    </dxf>
    <dxf>
      <font>
        <b val="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Cambria"/>
        <family val="1"/>
        <scheme val="major"/>
      </font>
    </dxf>
    <dxf>
      <font>
        <name val="Cambria"/>
        <family val="1"/>
        <scheme val="major"/>
      </font>
    </dxf>
    <dxf>
      <font>
        <name val="Cambria"/>
        <family val="1"/>
        <scheme val="major"/>
      </font>
    </dxf>
    <dxf>
      <font>
        <name val="Cambria"/>
        <family val="1"/>
        <scheme val="major"/>
      </font>
    </dxf>
    <dxf>
      <font>
        <name val="Cambria"/>
        <family val="1"/>
        <scheme val="major"/>
      </font>
    </dxf>
    <dxf>
      <font>
        <name val="Cambria"/>
        <family val="1"/>
        <scheme val="major"/>
      </font>
    </dxf>
    <dxf>
      <font>
        <name val="Cambria"/>
        <family val="1"/>
        <scheme val="major"/>
      </font>
    </dxf>
    <dxf>
      <font>
        <name val="Cambria"/>
        <family val="1"/>
        <scheme val="major"/>
      </font>
    </dxf>
    <dxf>
      <font>
        <name val="Cambria"/>
        <family val="1"/>
        <scheme val="major"/>
      </font>
    </dxf>
    <dxf>
      <font>
        <name val="Cambria"/>
        <family val="1"/>
        <scheme val="major"/>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b val="0"/>
      </font>
    </dxf>
    <dxf>
      <font>
        <b val="0"/>
      </font>
    </dxf>
    <dxf>
      <font>
        <b val="0"/>
      </font>
    </dxf>
    <dxf>
      <font>
        <b val="0"/>
      </font>
    </dxf>
    <dxf>
      <font>
        <b val="0"/>
      </font>
    </dxf>
    <dxf>
      <font>
        <b val="0"/>
      </font>
    </dxf>
    <dxf>
      <font>
        <b val="0"/>
      </font>
    </dxf>
    <dxf>
      <font>
        <b val="0"/>
      </font>
    </dxf>
    <dxf>
      <font>
        <b val="0"/>
      </font>
    </dxf>
    <dxf>
      <font>
        <b val="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Cambria"/>
        <family val="1"/>
        <scheme val="major"/>
      </font>
    </dxf>
    <dxf>
      <font>
        <name val="Cambria"/>
        <family val="1"/>
        <scheme val="major"/>
      </font>
    </dxf>
    <dxf>
      <font>
        <name val="Cambria"/>
        <family val="1"/>
        <scheme val="major"/>
      </font>
    </dxf>
    <dxf>
      <font>
        <name val="Cambria"/>
        <family val="1"/>
        <scheme val="major"/>
      </font>
    </dxf>
    <dxf>
      <font>
        <name val="Cambria"/>
        <family val="1"/>
        <scheme val="major"/>
      </font>
    </dxf>
    <dxf>
      <font>
        <name val="Cambria"/>
        <family val="1"/>
        <scheme val="major"/>
      </font>
    </dxf>
    <dxf>
      <font>
        <sz val="12"/>
      </font>
    </dxf>
    <dxf>
      <font>
        <sz val="12"/>
      </font>
    </dxf>
    <dxf>
      <font>
        <sz val="12"/>
      </font>
    </dxf>
    <dxf>
      <font>
        <sz val="12"/>
      </font>
    </dxf>
    <dxf>
      <font>
        <sz val="12"/>
      </font>
    </dxf>
    <dxf>
      <font>
        <sz val="12"/>
      </font>
    </dxf>
    <dxf>
      <font>
        <b val="0"/>
      </font>
    </dxf>
    <dxf>
      <font>
        <b val="0"/>
      </font>
    </dxf>
    <dxf>
      <font>
        <b val="0"/>
      </font>
    </dxf>
    <dxf>
      <font>
        <b val="0"/>
      </font>
    </dxf>
    <dxf>
      <font>
        <b val="0"/>
      </font>
    </dxf>
    <dxf>
      <font>
        <b val="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alignment horizontal="center"/>
    </dxf>
    <dxf>
      <alignment horizontal="center"/>
    </dxf>
    <dxf>
      <alignment horizontal="center"/>
    </dxf>
    <dxf>
      <font>
        <sz val="14"/>
      </font>
    </dxf>
    <dxf>
      <alignment horizontal="center"/>
    </dxf>
    <dxf>
      <font>
        <name val="Cambria"/>
        <family val="1"/>
        <scheme val="major"/>
      </font>
    </dxf>
    <dxf>
      <font>
        <name val="Cambria"/>
        <family val="1"/>
        <scheme val="major"/>
      </font>
    </dxf>
    <dxf>
      <font>
        <name val="Cambria"/>
        <family val="1"/>
        <scheme val="major"/>
      </font>
    </dxf>
    <dxf>
      <font>
        <name val="Cambria"/>
        <family val="1"/>
        <scheme val="major"/>
      </font>
    </dxf>
    <dxf>
      <font>
        <name val="Cambria"/>
        <family val="1"/>
        <scheme val="major"/>
      </font>
    </dxf>
    <dxf>
      <font>
        <name val="Cambria"/>
        <family val="1"/>
        <scheme val="major"/>
      </font>
    </dxf>
    <dxf>
      <font>
        <name val="Cambria"/>
        <family val="1"/>
        <scheme val="major"/>
      </font>
    </dxf>
    <dxf>
      <font>
        <name val="Cambria"/>
        <family val="1"/>
        <scheme val="major"/>
      </font>
    </dxf>
    <dxf>
      <font>
        <name val="Cambria"/>
        <family val="1"/>
        <scheme val="major"/>
      </font>
    </dxf>
    <dxf>
      <font>
        <name val="Cambria"/>
        <family val="1"/>
        <scheme val="major"/>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b val="0"/>
      </font>
    </dxf>
    <dxf>
      <font>
        <b val="0"/>
      </font>
    </dxf>
    <dxf>
      <font>
        <b val="0"/>
      </font>
    </dxf>
    <dxf>
      <font>
        <b val="0"/>
      </font>
    </dxf>
    <dxf>
      <font>
        <b val="0"/>
      </font>
    </dxf>
    <dxf>
      <font>
        <b val="0"/>
      </font>
    </dxf>
    <dxf>
      <font>
        <b val="0"/>
      </font>
    </dxf>
    <dxf>
      <font>
        <b val="0"/>
      </font>
    </dxf>
    <dxf>
      <font>
        <b val="0"/>
      </font>
    </dxf>
    <dxf>
      <font>
        <b val="0"/>
      </font>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Cambria"/>
        <family val="1"/>
        <scheme val="major"/>
      </font>
    </dxf>
    <dxf>
      <font>
        <name val="Cambria"/>
        <family val="1"/>
        <scheme val="major"/>
      </font>
    </dxf>
    <dxf>
      <font>
        <name val="Cambria"/>
        <family val="1"/>
        <scheme val="major"/>
      </font>
    </dxf>
    <dxf>
      <font>
        <sz val="12"/>
      </font>
    </dxf>
    <dxf>
      <font>
        <sz val="12"/>
      </font>
    </dxf>
    <dxf>
      <font>
        <sz val="12"/>
      </font>
    </dxf>
    <dxf>
      <font>
        <b val="0"/>
      </font>
    </dxf>
    <dxf>
      <font>
        <b val="0"/>
      </font>
    </dxf>
    <dxf>
      <font>
        <b val="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Cambria"/>
        <family val="1"/>
        <scheme val="major"/>
      </font>
    </dxf>
    <dxf>
      <font>
        <name val="Cambria"/>
        <family val="1"/>
        <scheme val="major"/>
      </font>
    </dxf>
    <dxf>
      <font>
        <name val="Cambria"/>
        <family val="1"/>
        <scheme val="major"/>
      </font>
    </dxf>
    <dxf>
      <font>
        <sz val="12"/>
      </font>
    </dxf>
    <dxf>
      <font>
        <sz val="12"/>
      </font>
    </dxf>
    <dxf>
      <font>
        <sz val="12"/>
      </font>
    </dxf>
    <dxf>
      <font>
        <b val="0"/>
      </font>
    </dxf>
    <dxf>
      <font>
        <b val="0"/>
      </font>
    </dxf>
    <dxf>
      <font>
        <b val="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font>
        <name val="Cambria"/>
        <family val="1"/>
        <scheme val="major"/>
      </font>
    </dxf>
    <dxf>
      <font>
        <name val="Cambria"/>
        <family val="1"/>
        <scheme val="major"/>
      </font>
    </dxf>
    <dxf>
      <font>
        <name val="Cambria"/>
        <family val="1"/>
        <scheme val="major"/>
      </font>
    </dxf>
    <dxf>
      <font>
        <name val="Cambria"/>
        <family val="1"/>
        <scheme val="major"/>
      </font>
    </dxf>
    <dxf>
      <font>
        <name val="Cambria"/>
        <family val="1"/>
        <scheme val="major"/>
      </font>
    </dxf>
    <dxf>
      <font>
        <name val="Cambria"/>
        <family val="1"/>
        <scheme val="major"/>
      </font>
    </dxf>
    <dxf>
      <font>
        <sz val="12"/>
      </font>
    </dxf>
    <dxf>
      <font>
        <sz val="12"/>
      </font>
    </dxf>
    <dxf>
      <font>
        <sz val="12"/>
      </font>
    </dxf>
    <dxf>
      <font>
        <sz val="12"/>
      </font>
    </dxf>
    <dxf>
      <font>
        <sz val="12"/>
      </font>
    </dxf>
    <dxf>
      <font>
        <sz val="12"/>
      </font>
    </dxf>
    <dxf>
      <font>
        <b val="0"/>
      </font>
    </dxf>
    <dxf>
      <font>
        <b val="0"/>
      </font>
    </dxf>
    <dxf>
      <font>
        <b val="0"/>
      </font>
    </dxf>
    <dxf>
      <font>
        <b val="0"/>
      </font>
    </dxf>
    <dxf>
      <font>
        <b val="0"/>
      </font>
    </dxf>
    <dxf>
      <font>
        <b val="0"/>
      </font>
    </dxf>
    <dxf>
      <numFmt numFmtId="0" formatCode="General"/>
    </dxf>
    <dxf>
      <font>
        <name val="Cambria"/>
        <family val="1"/>
        <scheme val="major"/>
      </font>
    </dxf>
    <dxf>
      <font>
        <name val="Cambria"/>
        <family val="1"/>
        <scheme val="major"/>
      </font>
    </dxf>
    <dxf>
      <font>
        <name val="Cambria"/>
        <family val="1"/>
        <scheme val="major"/>
      </font>
    </dxf>
    <dxf>
      <font>
        <name val="Cambria"/>
        <family val="1"/>
        <scheme val="major"/>
      </font>
    </dxf>
    <dxf>
      <font>
        <name val="Cambria"/>
        <family val="1"/>
        <scheme val="major"/>
      </font>
    </dxf>
    <dxf>
      <font>
        <name val="Cambria"/>
        <family val="1"/>
        <scheme val="major"/>
      </font>
    </dxf>
    <dxf>
      <font>
        <sz val="12"/>
      </font>
    </dxf>
    <dxf>
      <font>
        <sz val="12"/>
      </font>
    </dxf>
    <dxf>
      <font>
        <sz val="12"/>
      </font>
    </dxf>
    <dxf>
      <font>
        <sz val="12"/>
      </font>
    </dxf>
    <dxf>
      <font>
        <sz val="12"/>
      </font>
    </dxf>
    <dxf>
      <font>
        <sz val="12"/>
      </font>
    </dxf>
    <dxf>
      <font>
        <b val="0"/>
      </font>
    </dxf>
    <dxf>
      <font>
        <b val="0"/>
      </font>
    </dxf>
    <dxf>
      <font>
        <b val="0"/>
      </font>
    </dxf>
    <dxf>
      <font>
        <b val="0"/>
      </font>
    </dxf>
    <dxf>
      <font>
        <b val="0"/>
      </font>
    </dxf>
    <dxf>
      <font>
        <b val="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Cambria"/>
        <family val="1"/>
        <scheme val="major"/>
      </font>
    </dxf>
    <dxf>
      <font>
        <name val="Cambria"/>
        <family val="1"/>
        <scheme val="major"/>
      </font>
    </dxf>
    <dxf>
      <font>
        <name val="Cambria"/>
        <family val="1"/>
        <scheme val="major"/>
      </font>
    </dxf>
    <dxf>
      <font>
        <name val="Cambria"/>
        <family val="1"/>
        <scheme val="major"/>
      </font>
    </dxf>
    <dxf>
      <font>
        <name val="Cambria"/>
        <family val="1"/>
        <scheme val="major"/>
      </font>
    </dxf>
    <dxf>
      <font>
        <name val="Cambria"/>
        <family val="1"/>
        <scheme val="major"/>
      </font>
    </dxf>
    <dxf>
      <font>
        <name val="Cambria"/>
        <family val="1"/>
        <scheme val="major"/>
      </font>
    </dxf>
    <dxf>
      <font>
        <name val="Cambria"/>
        <family val="1"/>
        <scheme val="major"/>
      </font>
    </dxf>
    <dxf>
      <font>
        <name val="Cambria"/>
        <family val="1"/>
        <scheme val="major"/>
      </font>
    </dxf>
    <dxf>
      <font>
        <name val="Cambria"/>
        <family val="1"/>
        <scheme val="major"/>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b val="0"/>
      </font>
    </dxf>
    <dxf>
      <font>
        <b val="0"/>
      </font>
    </dxf>
    <dxf>
      <font>
        <b val="0"/>
      </font>
    </dxf>
    <dxf>
      <font>
        <b val="0"/>
      </font>
    </dxf>
    <dxf>
      <font>
        <b val="0"/>
      </font>
    </dxf>
    <dxf>
      <font>
        <b val="0"/>
      </font>
    </dxf>
    <dxf>
      <font>
        <b val="0"/>
      </font>
    </dxf>
    <dxf>
      <font>
        <b val="0"/>
      </font>
    </dxf>
    <dxf>
      <font>
        <b val="0"/>
      </font>
    </dxf>
    <dxf>
      <font>
        <b val="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Cambria"/>
        <family val="1"/>
        <scheme val="major"/>
      </font>
    </dxf>
    <dxf>
      <font>
        <name val="Cambria"/>
        <family val="1"/>
        <scheme val="major"/>
      </font>
    </dxf>
    <dxf>
      <font>
        <name val="Cambria"/>
        <family val="1"/>
        <scheme val="major"/>
      </font>
    </dxf>
    <dxf>
      <font>
        <name val="Cambria"/>
        <family val="1"/>
        <scheme val="major"/>
      </font>
    </dxf>
    <dxf>
      <font>
        <name val="Cambria"/>
        <family val="1"/>
        <scheme val="major"/>
      </font>
    </dxf>
    <dxf>
      <font>
        <name val="Cambria"/>
        <family val="1"/>
        <scheme val="major"/>
      </font>
    </dxf>
    <dxf>
      <font>
        <sz val="12"/>
      </font>
    </dxf>
    <dxf>
      <font>
        <sz val="12"/>
      </font>
    </dxf>
    <dxf>
      <font>
        <sz val="12"/>
      </font>
    </dxf>
    <dxf>
      <font>
        <sz val="12"/>
      </font>
    </dxf>
    <dxf>
      <font>
        <sz val="12"/>
      </font>
    </dxf>
    <dxf>
      <font>
        <sz val="12"/>
      </font>
    </dxf>
    <dxf>
      <font>
        <b val="0"/>
      </font>
    </dxf>
    <dxf>
      <font>
        <b val="0"/>
      </font>
    </dxf>
    <dxf>
      <font>
        <b val="0"/>
      </font>
    </dxf>
    <dxf>
      <font>
        <b val="0"/>
      </font>
    </dxf>
    <dxf>
      <font>
        <b val="0"/>
      </font>
    </dxf>
    <dxf>
      <font>
        <b val="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alignment horizontal="center"/>
    </dxf>
    <dxf>
      <alignment horizontal="center"/>
    </dxf>
    <dxf>
      <alignment horizontal="center"/>
    </dxf>
    <dxf>
      <font>
        <sz val="14"/>
      </font>
    </dxf>
    <dxf>
      <alignment horizontal="center"/>
    </dxf>
    <dxf>
      <font>
        <name val="Cambria"/>
        <family val="1"/>
        <scheme val="major"/>
      </font>
    </dxf>
    <dxf>
      <font>
        <name val="Cambria"/>
        <family val="1"/>
        <scheme val="major"/>
      </font>
    </dxf>
    <dxf>
      <font>
        <name val="Cambria"/>
        <family val="1"/>
        <scheme val="major"/>
      </font>
    </dxf>
    <dxf>
      <font>
        <name val="Cambria"/>
        <family val="1"/>
        <scheme val="major"/>
      </font>
    </dxf>
    <dxf>
      <font>
        <name val="Cambria"/>
        <family val="1"/>
        <scheme val="major"/>
      </font>
    </dxf>
    <dxf>
      <font>
        <name val="Cambria"/>
        <family val="1"/>
        <scheme val="major"/>
      </font>
    </dxf>
    <dxf>
      <font>
        <name val="Cambria"/>
        <family val="1"/>
        <scheme val="major"/>
      </font>
    </dxf>
    <dxf>
      <font>
        <name val="Cambria"/>
        <family val="1"/>
        <scheme val="major"/>
      </font>
    </dxf>
    <dxf>
      <font>
        <name val="Cambria"/>
        <family val="1"/>
        <scheme val="major"/>
      </font>
    </dxf>
    <dxf>
      <font>
        <name val="Cambria"/>
        <family val="1"/>
        <scheme val="major"/>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b val="0"/>
      </font>
    </dxf>
    <dxf>
      <font>
        <b val="0"/>
      </font>
    </dxf>
    <dxf>
      <font>
        <b val="0"/>
      </font>
    </dxf>
    <dxf>
      <font>
        <b val="0"/>
      </font>
    </dxf>
    <dxf>
      <font>
        <b val="0"/>
      </font>
    </dxf>
    <dxf>
      <font>
        <b val="0"/>
      </font>
    </dxf>
    <dxf>
      <font>
        <b val="0"/>
      </font>
    </dxf>
    <dxf>
      <font>
        <b val="0"/>
      </font>
    </dxf>
    <dxf>
      <font>
        <b val="0"/>
      </font>
    </dxf>
    <dxf>
      <font>
        <b val="0"/>
      </font>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Cambria"/>
        <family val="1"/>
        <scheme val="major"/>
      </font>
    </dxf>
    <dxf>
      <font>
        <name val="Cambria"/>
        <family val="1"/>
        <scheme val="major"/>
      </font>
    </dxf>
    <dxf>
      <font>
        <name val="Cambria"/>
        <family val="1"/>
        <scheme val="major"/>
      </font>
    </dxf>
    <dxf>
      <font>
        <sz val="12"/>
      </font>
    </dxf>
    <dxf>
      <font>
        <sz val="12"/>
      </font>
    </dxf>
    <dxf>
      <font>
        <sz val="12"/>
      </font>
    </dxf>
    <dxf>
      <font>
        <b val="0"/>
      </font>
    </dxf>
    <dxf>
      <font>
        <b val="0"/>
      </font>
    </dxf>
    <dxf>
      <font>
        <b val="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Cambria"/>
        <family val="1"/>
        <scheme val="major"/>
      </font>
    </dxf>
    <dxf>
      <font>
        <name val="Cambria"/>
        <family val="1"/>
        <scheme val="major"/>
      </font>
    </dxf>
    <dxf>
      <font>
        <name val="Cambria"/>
        <family val="1"/>
        <scheme val="major"/>
      </font>
    </dxf>
    <dxf>
      <font>
        <sz val="12"/>
      </font>
    </dxf>
    <dxf>
      <font>
        <sz val="12"/>
      </font>
    </dxf>
    <dxf>
      <font>
        <sz val="12"/>
      </font>
    </dxf>
    <dxf>
      <font>
        <b val="0"/>
      </font>
    </dxf>
    <dxf>
      <font>
        <b val="0"/>
      </font>
    </dxf>
    <dxf>
      <font>
        <b val="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font>
        <name val="Cambria"/>
        <family val="1"/>
        <scheme val="major"/>
      </font>
    </dxf>
    <dxf>
      <font>
        <name val="Cambria"/>
        <family val="1"/>
        <scheme val="major"/>
      </font>
    </dxf>
    <dxf>
      <font>
        <name val="Cambria"/>
        <family val="1"/>
        <scheme val="major"/>
      </font>
    </dxf>
    <dxf>
      <font>
        <name val="Cambria"/>
        <family val="1"/>
        <scheme val="major"/>
      </font>
    </dxf>
    <dxf>
      <font>
        <name val="Cambria"/>
        <family val="1"/>
        <scheme val="major"/>
      </font>
    </dxf>
    <dxf>
      <font>
        <name val="Cambria"/>
        <family val="1"/>
        <scheme val="major"/>
      </font>
    </dxf>
    <dxf>
      <font>
        <sz val="12"/>
      </font>
    </dxf>
    <dxf>
      <font>
        <sz val="12"/>
      </font>
    </dxf>
    <dxf>
      <font>
        <sz val="12"/>
      </font>
    </dxf>
    <dxf>
      <font>
        <sz val="12"/>
      </font>
    </dxf>
    <dxf>
      <font>
        <sz val="12"/>
      </font>
    </dxf>
    <dxf>
      <font>
        <sz val="12"/>
      </font>
    </dxf>
    <dxf>
      <font>
        <b val="0"/>
      </font>
    </dxf>
    <dxf>
      <font>
        <b val="0"/>
      </font>
    </dxf>
    <dxf>
      <font>
        <b val="0"/>
      </font>
    </dxf>
    <dxf>
      <font>
        <b val="0"/>
      </font>
    </dxf>
    <dxf>
      <font>
        <b val="0"/>
      </font>
    </dxf>
    <dxf>
      <font>
        <b val="0"/>
      </font>
    </dxf>
    <dxf>
      <numFmt numFmtId="0" formatCode="General"/>
    </dxf>
    <dxf>
      <font>
        <name val="Cambria"/>
        <family val="1"/>
        <scheme val="major"/>
      </font>
    </dxf>
    <dxf>
      <font>
        <name val="Cambria"/>
        <family val="1"/>
        <scheme val="major"/>
      </font>
    </dxf>
    <dxf>
      <font>
        <name val="Cambria"/>
        <family val="1"/>
        <scheme val="major"/>
      </font>
    </dxf>
    <dxf>
      <font>
        <name val="Cambria"/>
        <family val="1"/>
        <scheme val="major"/>
      </font>
    </dxf>
    <dxf>
      <font>
        <name val="Cambria"/>
        <family val="1"/>
        <scheme val="major"/>
      </font>
    </dxf>
    <dxf>
      <font>
        <name val="Cambria"/>
        <family val="1"/>
        <scheme val="major"/>
      </font>
    </dxf>
    <dxf>
      <font>
        <sz val="12"/>
      </font>
    </dxf>
    <dxf>
      <font>
        <sz val="12"/>
      </font>
    </dxf>
    <dxf>
      <font>
        <sz val="12"/>
      </font>
    </dxf>
    <dxf>
      <font>
        <sz val="12"/>
      </font>
    </dxf>
    <dxf>
      <font>
        <sz val="12"/>
      </font>
    </dxf>
    <dxf>
      <font>
        <sz val="12"/>
      </font>
    </dxf>
    <dxf>
      <font>
        <b val="0"/>
      </font>
    </dxf>
    <dxf>
      <font>
        <b val="0"/>
      </font>
    </dxf>
    <dxf>
      <font>
        <b val="0"/>
      </font>
    </dxf>
    <dxf>
      <font>
        <b val="0"/>
      </font>
    </dxf>
    <dxf>
      <font>
        <b val="0"/>
      </font>
    </dxf>
    <dxf>
      <font>
        <b val="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Cambria"/>
        <family val="1"/>
        <scheme val="major"/>
      </font>
    </dxf>
    <dxf>
      <font>
        <name val="Cambria"/>
        <family val="1"/>
        <scheme val="major"/>
      </font>
    </dxf>
    <dxf>
      <font>
        <name val="Cambria"/>
        <family val="1"/>
        <scheme val="major"/>
      </font>
    </dxf>
    <dxf>
      <font>
        <name val="Cambria"/>
        <family val="1"/>
        <scheme val="major"/>
      </font>
    </dxf>
    <dxf>
      <font>
        <name val="Cambria"/>
        <family val="1"/>
        <scheme val="major"/>
      </font>
    </dxf>
    <dxf>
      <font>
        <name val="Cambria"/>
        <family val="1"/>
        <scheme val="major"/>
      </font>
    </dxf>
    <dxf>
      <font>
        <name val="Cambria"/>
        <family val="1"/>
        <scheme val="major"/>
      </font>
    </dxf>
    <dxf>
      <font>
        <name val="Cambria"/>
        <family val="1"/>
        <scheme val="major"/>
      </font>
    </dxf>
    <dxf>
      <font>
        <name val="Cambria"/>
        <family val="1"/>
        <scheme val="major"/>
      </font>
    </dxf>
    <dxf>
      <font>
        <name val="Cambria"/>
        <family val="1"/>
        <scheme val="major"/>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b val="0"/>
      </font>
    </dxf>
    <dxf>
      <font>
        <b val="0"/>
      </font>
    </dxf>
    <dxf>
      <font>
        <b val="0"/>
      </font>
    </dxf>
    <dxf>
      <font>
        <b val="0"/>
      </font>
    </dxf>
    <dxf>
      <font>
        <b val="0"/>
      </font>
    </dxf>
    <dxf>
      <font>
        <b val="0"/>
      </font>
    </dxf>
    <dxf>
      <font>
        <b val="0"/>
      </font>
    </dxf>
    <dxf>
      <font>
        <b val="0"/>
      </font>
    </dxf>
    <dxf>
      <font>
        <b val="0"/>
      </font>
    </dxf>
    <dxf>
      <font>
        <b val="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Cambria"/>
        <family val="1"/>
        <scheme val="major"/>
      </font>
    </dxf>
    <dxf>
      <font>
        <name val="Cambria"/>
        <family val="1"/>
        <scheme val="major"/>
      </font>
    </dxf>
    <dxf>
      <font>
        <name val="Cambria"/>
        <family val="1"/>
        <scheme val="major"/>
      </font>
    </dxf>
    <dxf>
      <font>
        <name val="Cambria"/>
        <family val="1"/>
        <scheme val="major"/>
      </font>
    </dxf>
    <dxf>
      <font>
        <name val="Cambria"/>
        <family val="1"/>
        <scheme val="major"/>
      </font>
    </dxf>
    <dxf>
      <font>
        <name val="Cambria"/>
        <family val="1"/>
        <scheme val="major"/>
      </font>
    </dxf>
    <dxf>
      <font>
        <sz val="12"/>
      </font>
    </dxf>
    <dxf>
      <font>
        <sz val="12"/>
      </font>
    </dxf>
    <dxf>
      <font>
        <sz val="12"/>
      </font>
    </dxf>
    <dxf>
      <font>
        <sz val="12"/>
      </font>
    </dxf>
    <dxf>
      <font>
        <sz val="12"/>
      </font>
    </dxf>
    <dxf>
      <font>
        <sz val="12"/>
      </font>
    </dxf>
    <dxf>
      <font>
        <b val="0"/>
      </font>
    </dxf>
    <dxf>
      <font>
        <b val="0"/>
      </font>
    </dxf>
    <dxf>
      <font>
        <b val="0"/>
      </font>
    </dxf>
    <dxf>
      <font>
        <b val="0"/>
      </font>
    </dxf>
    <dxf>
      <font>
        <b val="0"/>
      </font>
    </dxf>
    <dxf>
      <font>
        <b val="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alignment horizontal="center"/>
    </dxf>
    <dxf>
      <alignment horizontal="center"/>
    </dxf>
    <dxf>
      <alignment horizontal="center"/>
    </dxf>
    <dxf>
      <font>
        <sz val="14"/>
      </font>
    </dxf>
    <dxf>
      <alignment horizontal="center"/>
    </dxf>
    <dxf>
      <font>
        <name val="Cambria"/>
        <family val="1"/>
        <scheme val="major"/>
      </font>
    </dxf>
    <dxf>
      <font>
        <name val="Cambria"/>
        <family val="1"/>
        <scheme val="major"/>
      </font>
    </dxf>
    <dxf>
      <font>
        <name val="Cambria"/>
        <family val="1"/>
        <scheme val="major"/>
      </font>
    </dxf>
    <dxf>
      <font>
        <name val="Cambria"/>
        <family val="1"/>
        <scheme val="major"/>
      </font>
    </dxf>
    <dxf>
      <font>
        <name val="Cambria"/>
        <family val="1"/>
        <scheme val="major"/>
      </font>
    </dxf>
    <dxf>
      <font>
        <name val="Cambria"/>
        <family val="1"/>
        <scheme val="major"/>
      </font>
    </dxf>
    <dxf>
      <font>
        <name val="Cambria"/>
        <family val="1"/>
        <scheme val="major"/>
      </font>
    </dxf>
    <dxf>
      <font>
        <name val="Cambria"/>
        <family val="1"/>
        <scheme val="major"/>
      </font>
    </dxf>
    <dxf>
      <font>
        <name val="Cambria"/>
        <family val="1"/>
        <scheme val="major"/>
      </font>
    </dxf>
    <dxf>
      <font>
        <name val="Cambria"/>
        <family val="1"/>
        <scheme val="major"/>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b val="0"/>
      </font>
    </dxf>
    <dxf>
      <font>
        <b val="0"/>
      </font>
    </dxf>
    <dxf>
      <font>
        <b val="0"/>
      </font>
    </dxf>
    <dxf>
      <font>
        <b val="0"/>
      </font>
    </dxf>
    <dxf>
      <font>
        <b val="0"/>
      </font>
    </dxf>
    <dxf>
      <font>
        <b val="0"/>
      </font>
    </dxf>
    <dxf>
      <font>
        <b val="0"/>
      </font>
    </dxf>
    <dxf>
      <font>
        <b val="0"/>
      </font>
    </dxf>
    <dxf>
      <font>
        <b val="0"/>
      </font>
    </dxf>
    <dxf>
      <font>
        <b val="0"/>
      </font>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Cambria"/>
        <family val="1"/>
        <scheme val="major"/>
      </font>
    </dxf>
    <dxf>
      <font>
        <name val="Cambria"/>
        <family val="1"/>
        <scheme val="major"/>
      </font>
    </dxf>
    <dxf>
      <font>
        <name val="Cambria"/>
        <family val="1"/>
        <scheme val="major"/>
      </font>
    </dxf>
    <dxf>
      <font>
        <sz val="12"/>
      </font>
    </dxf>
    <dxf>
      <font>
        <sz val="12"/>
      </font>
    </dxf>
    <dxf>
      <font>
        <sz val="12"/>
      </font>
    </dxf>
    <dxf>
      <font>
        <b val="0"/>
      </font>
    </dxf>
    <dxf>
      <font>
        <b val="0"/>
      </font>
    </dxf>
    <dxf>
      <font>
        <b val="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Cambria"/>
        <family val="1"/>
        <scheme val="major"/>
      </font>
    </dxf>
    <dxf>
      <font>
        <name val="Cambria"/>
        <family val="1"/>
        <scheme val="major"/>
      </font>
    </dxf>
    <dxf>
      <font>
        <name val="Cambria"/>
        <family val="1"/>
        <scheme val="major"/>
      </font>
    </dxf>
    <dxf>
      <font>
        <sz val="12"/>
      </font>
    </dxf>
    <dxf>
      <font>
        <sz val="12"/>
      </font>
    </dxf>
    <dxf>
      <font>
        <sz val="12"/>
      </font>
    </dxf>
    <dxf>
      <font>
        <b val="0"/>
      </font>
    </dxf>
    <dxf>
      <font>
        <b val="0"/>
      </font>
    </dxf>
    <dxf>
      <font>
        <b val="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font>
        <name val="Cambria"/>
        <family val="1"/>
        <scheme val="major"/>
      </font>
    </dxf>
    <dxf>
      <font>
        <name val="Cambria"/>
        <family val="1"/>
        <scheme val="major"/>
      </font>
    </dxf>
    <dxf>
      <font>
        <name val="Cambria"/>
        <family val="1"/>
        <scheme val="major"/>
      </font>
    </dxf>
    <dxf>
      <font>
        <name val="Cambria"/>
        <family val="1"/>
        <scheme val="major"/>
      </font>
    </dxf>
    <dxf>
      <font>
        <name val="Cambria"/>
        <family val="1"/>
        <scheme val="major"/>
      </font>
    </dxf>
    <dxf>
      <font>
        <name val="Cambria"/>
        <family val="1"/>
        <scheme val="major"/>
      </font>
    </dxf>
    <dxf>
      <font>
        <sz val="12"/>
      </font>
    </dxf>
    <dxf>
      <font>
        <sz val="12"/>
      </font>
    </dxf>
    <dxf>
      <font>
        <sz val="12"/>
      </font>
    </dxf>
    <dxf>
      <font>
        <sz val="12"/>
      </font>
    </dxf>
    <dxf>
      <font>
        <sz val="12"/>
      </font>
    </dxf>
    <dxf>
      <font>
        <sz val="12"/>
      </font>
    </dxf>
    <dxf>
      <font>
        <b val="0"/>
      </font>
    </dxf>
    <dxf>
      <font>
        <b val="0"/>
      </font>
    </dxf>
    <dxf>
      <font>
        <b val="0"/>
      </font>
    </dxf>
    <dxf>
      <font>
        <b val="0"/>
      </font>
    </dxf>
    <dxf>
      <font>
        <b val="0"/>
      </font>
    </dxf>
    <dxf>
      <font>
        <b val="0"/>
      </font>
    </dxf>
    <dxf>
      <numFmt numFmtId="0" formatCode="General"/>
    </dxf>
    <dxf>
      <font>
        <name val="Cambria"/>
        <family val="1"/>
        <scheme val="major"/>
      </font>
    </dxf>
    <dxf>
      <font>
        <name val="Cambria"/>
        <family val="1"/>
        <scheme val="major"/>
      </font>
    </dxf>
    <dxf>
      <font>
        <name val="Cambria"/>
        <family val="1"/>
        <scheme val="major"/>
      </font>
    </dxf>
    <dxf>
      <font>
        <name val="Cambria"/>
        <family val="1"/>
        <scheme val="major"/>
      </font>
    </dxf>
    <dxf>
      <font>
        <name val="Cambria"/>
        <family val="1"/>
        <scheme val="major"/>
      </font>
    </dxf>
    <dxf>
      <font>
        <name val="Cambria"/>
        <family val="1"/>
        <scheme val="major"/>
      </font>
    </dxf>
    <dxf>
      <font>
        <sz val="12"/>
      </font>
    </dxf>
    <dxf>
      <font>
        <sz val="12"/>
      </font>
    </dxf>
    <dxf>
      <font>
        <sz val="12"/>
      </font>
    </dxf>
    <dxf>
      <font>
        <sz val="12"/>
      </font>
    </dxf>
    <dxf>
      <font>
        <sz val="12"/>
      </font>
    </dxf>
    <dxf>
      <font>
        <sz val="12"/>
      </font>
    </dxf>
    <dxf>
      <font>
        <b val="0"/>
      </font>
    </dxf>
    <dxf>
      <font>
        <b val="0"/>
      </font>
    </dxf>
    <dxf>
      <font>
        <b val="0"/>
      </font>
    </dxf>
    <dxf>
      <font>
        <b val="0"/>
      </font>
    </dxf>
    <dxf>
      <font>
        <b val="0"/>
      </font>
    </dxf>
    <dxf>
      <font>
        <b val="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Cambria"/>
        <family val="1"/>
        <scheme val="major"/>
      </font>
    </dxf>
    <dxf>
      <font>
        <name val="Cambria"/>
        <family val="1"/>
        <scheme val="major"/>
      </font>
    </dxf>
    <dxf>
      <font>
        <name val="Cambria"/>
        <family val="1"/>
        <scheme val="major"/>
      </font>
    </dxf>
    <dxf>
      <font>
        <name val="Cambria"/>
        <family val="1"/>
        <scheme val="major"/>
      </font>
    </dxf>
    <dxf>
      <font>
        <name val="Cambria"/>
        <family val="1"/>
        <scheme val="major"/>
      </font>
    </dxf>
    <dxf>
      <font>
        <name val="Cambria"/>
        <family val="1"/>
        <scheme val="major"/>
      </font>
    </dxf>
    <dxf>
      <font>
        <name val="Cambria"/>
        <family val="1"/>
        <scheme val="major"/>
      </font>
    </dxf>
    <dxf>
      <font>
        <name val="Cambria"/>
        <family val="1"/>
        <scheme val="major"/>
      </font>
    </dxf>
    <dxf>
      <font>
        <name val="Cambria"/>
        <family val="1"/>
        <scheme val="major"/>
      </font>
    </dxf>
    <dxf>
      <font>
        <name val="Cambria"/>
        <family val="1"/>
        <scheme val="major"/>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b val="0"/>
      </font>
    </dxf>
    <dxf>
      <font>
        <b val="0"/>
      </font>
    </dxf>
    <dxf>
      <font>
        <b val="0"/>
      </font>
    </dxf>
    <dxf>
      <font>
        <b val="0"/>
      </font>
    </dxf>
    <dxf>
      <font>
        <b val="0"/>
      </font>
    </dxf>
    <dxf>
      <font>
        <b val="0"/>
      </font>
    </dxf>
    <dxf>
      <font>
        <b val="0"/>
      </font>
    </dxf>
    <dxf>
      <font>
        <b val="0"/>
      </font>
    </dxf>
    <dxf>
      <font>
        <b val="0"/>
      </font>
    </dxf>
    <dxf>
      <font>
        <b val="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Cambria"/>
        <family val="1"/>
        <scheme val="major"/>
      </font>
    </dxf>
    <dxf>
      <font>
        <name val="Cambria"/>
        <family val="1"/>
        <scheme val="major"/>
      </font>
    </dxf>
    <dxf>
      <font>
        <name val="Cambria"/>
        <family val="1"/>
        <scheme val="major"/>
      </font>
    </dxf>
    <dxf>
      <font>
        <name val="Cambria"/>
        <family val="1"/>
        <scheme val="major"/>
      </font>
    </dxf>
    <dxf>
      <font>
        <name val="Cambria"/>
        <family val="1"/>
        <scheme val="major"/>
      </font>
    </dxf>
    <dxf>
      <font>
        <name val="Cambria"/>
        <family val="1"/>
        <scheme val="major"/>
      </font>
    </dxf>
    <dxf>
      <font>
        <sz val="12"/>
      </font>
    </dxf>
    <dxf>
      <font>
        <sz val="12"/>
      </font>
    </dxf>
    <dxf>
      <font>
        <sz val="12"/>
      </font>
    </dxf>
    <dxf>
      <font>
        <sz val="12"/>
      </font>
    </dxf>
    <dxf>
      <font>
        <sz val="12"/>
      </font>
    </dxf>
    <dxf>
      <font>
        <sz val="12"/>
      </font>
    </dxf>
    <dxf>
      <font>
        <b val="0"/>
      </font>
    </dxf>
    <dxf>
      <font>
        <b val="0"/>
      </font>
    </dxf>
    <dxf>
      <font>
        <b val="0"/>
      </font>
    </dxf>
    <dxf>
      <font>
        <b val="0"/>
      </font>
    </dxf>
    <dxf>
      <font>
        <b val="0"/>
      </font>
    </dxf>
    <dxf>
      <font>
        <b val="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alignment horizontal="center"/>
    </dxf>
    <dxf>
      <alignment horizontal="center"/>
    </dxf>
    <dxf>
      <alignment horizontal="center"/>
    </dxf>
    <dxf>
      <font>
        <sz val="14"/>
      </font>
    </dxf>
    <dxf>
      <alignment horizontal="center"/>
    </dxf>
    <dxf>
      <font>
        <name val="Cambria"/>
        <family val="1"/>
        <scheme val="major"/>
      </font>
    </dxf>
    <dxf>
      <font>
        <name val="Cambria"/>
        <family val="1"/>
        <scheme val="major"/>
      </font>
    </dxf>
    <dxf>
      <font>
        <name val="Cambria"/>
        <family val="1"/>
        <scheme val="major"/>
      </font>
    </dxf>
    <dxf>
      <font>
        <name val="Cambria"/>
        <family val="1"/>
        <scheme val="major"/>
      </font>
    </dxf>
    <dxf>
      <font>
        <name val="Cambria"/>
        <family val="1"/>
        <scheme val="major"/>
      </font>
    </dxf>
    <dxf>
      <font>
        <name val="Cambria"/>
        <family val="1"/>
        <scheme val="major"/>
      </font>
    </dxf>
    <dxf>
      <font>
        <name val="Cambria"/>
        <family val="1"/>
        <scheme val="major"/>
      </font>
    </dxf>
    <dxf>
      <font>
        <name val="Cambria"/>
        <family val="1"/>
        <scheme val="major"/>
      </font>
    </dxf>
    <dxf>
      <font>
        <name val="Cambria"/>
        <family val="1"/>
        <scheme val="major"/>
      </font>
    </dxf>
    <dxf>
      <font>
        <name val="Cambria"/>
        <family val="1"/>
        <scheme val="major"/>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b val="0"/>
      </font>
    </dxf>
    <dxf>
      <font>
        <b val="0"/>
      </font>
    </dxf>
    <dxf>
      <font>
        <b val="0"/>
      </font>
    </dxf>
    <dxf>
      <font>
        <b val="0"/>
      </font>
    </dxf>
    <dxf>
      <font>
        <b val="0"/>
      </font>
    </dxf>
    <dxf>
      <font>
        <b val="0"/>
      </font>
    </dxf>
    <dxf>
      <font>
        <b val="0"/>
      </font>
    </dxf>
    <dxf>
      <font>
        <b val="0"/>
      </font>
    </dxf>
    <dxf>
      <font>
        <b val="0"/>
      </font>
    </dxf>
    <dxf>
      <font>
        <b val="0"/>
      </font>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Cambria"/>
        <family val="1"/>
        <scheme val="major"/>
      </font>
    </dxf>
    <dxf>
      <font>
        <name val="Cambria"/>
        <family val="1"/>
        <scheme val="major"/>
      </font>
    </dxf>
    <dxf>
      <font>
        <name val="Cambria"/>
        <family val="1"/>
        <scheme val="major"/>
      </font>
    </dxf>
    <dxf>
      <font>
        <sz val="12"/>
      </font>
    </dxf>
    <dxf>
      <font>
        <sz val="12"/>
      </font>
    </dxf>
    <dxf>
      <font>
        <sz val="12"/>
      </font>
    </dxf>
    <dxf>
      <font>
        <b val="0"/>
      </font>
    </dxf>
    <dxf>
      <font>
        <b val="0"/>
      </font>
    </dxf>
    <dxf>
      <font>
        <b val="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Cambria"/>
        <family val="1"/>
        <scheme val="major"/>
      </font>
    </dxf>
    <dxf>
      <font>
        <name val="Cambria"/>
        <family val="1"/>
        <scheme val="major"/>
      </font>
    </dxf>
    <dxf>
      <font>
        <name val="Cambria"/>
        <family val="1"/>
        <scheme val="major"/>
      </font>
    </dxf>
    <dxf>
      <font>
        <sz val="12"/>
      </font>
    </dxf>
    <dxf>
      <font>
        <sz val="12"/>
      </font>
    </dxf>
    <dxf>
      <font>
        <sz val="12"/>
      </font>
    </dxf>
    <dxf>
      <font>
        <b val="0"/>
      </font>
    </dxf>
    <dxf>
      <font>
        <b val="0"/>
      </font>
    </dxf>
    <dxf>
      <font>
        <b val="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font>
        <name val="Cambria"/>
        <family val="1"/>
        <scheme val="major"/>
      </font>
    </dxf>
    <dxf>
      <font>
        <name val="Cambria"/>
        <family val="1"/>
        <scheme val="major"/>
      </font>
    </dxf>
    <dxf>
      <font>
        <name val="Cambria"/>
        <family val="1"/>
        <scheme val="major"/>
      </font>
    </dxf>
    <dxf>
      <font>
        <name val="Cambria"/>
        <family val="1"/>
        <scheme val="major"/>
      </font>
    </dxf>
    <dxf>
      <font>
        <name val="Cambria"/>
        <family val="1"/>
        <scheme val="major"/>
      </font>
    </dxf>
    <dxf>
      <font>
        <name val="Cambria"/>
        <family val="1"/>
        <scheme val="major"/>
      </font>
    </dxf>
    <dxf>
      <font>
        <sz val="12"/>
      </font>
    </dxf>
    <dxf>
      <font>
        <sz val="12"/>
      </font>
    </dxf>
    <dxf>
      <font>
        <sz val="12"/>
      </font>
    </dxf>
    <dxf>
      <font>
        <sz val="12"/>
      </font>
    </dxf>
    <dxf>
      <font>
        <sz val="12"/>
      </font>
    </dxf>
    <dxf>
      <font>
        <sz val="12"/>
      </font>
    </dxf>
    <dxf>
      <font>
        <b val="0"/>
      </font>
    </dxf>
    <dxf>
      <font>
        <b val="0"/>
      </font>
    </dxf>
    <dxf>
      <font>
        <b val="0"/>
      </font>
    </dxf>
    <dxf>
      <font>
        <b val="0"/>
      </font>
    </dxf>
    <dxf>
      <font>
        <b val="0"/>
      </font>
    </dxf>
    <dxf>
      <font>
        <b val="0"/>
      </font>
    </dxf>
    <dxf>
      <numFmt numFmtId="0" formatCode="General"/>
    </dxf>
    <dxf>
      <font>
        <name val="Cambria"/>
        <family val="1"/>
        <scheme val="major"/>
      </font>
    </dxf>
    <dxf>
      <font>
        <name val="Cambria"/>
        <family val="1"/>
        <scheme val="major"/>
      </font>
    </dxf>
    <dxf>
      <font>
        <name val="Cambria"/>
        <family val="1"/>
        <scheme val="major"/>
      </font>
    </dxf>
    <dxf>
      <font>
        <name val="Cambria"/>
        <family val="1"/>
        <scheme val="major"/>
      </font>
    </dxf>
    <dxf>
      <font>
        <name val="Cambria"/>
        <family val="1"/>
        <scheme val="major"/>
      </font>
    </dxf>
    <dxf>
      <font>
        <name val="Cambria"/>
        <family val="1"/>
        <scheme val="major"/>
      </font>
    </dxf>
    <dxf>
      <font>
        <sz val="12"/>
      </font>
    </dxf>
    <dxf>
      <font>
        <sz val="12"/>
      </font>
    </dxf>
    <dxf>
      <font>
        <sz val="12"/>
      </font>
    </dxf>
    <dxf>
      <font>
        <sz val="12"/>
      </font>
    </dxf>
    <dxf>
      <font>
        <sz val="12"/>
      </font>
    </dxf>
    <dxf>
      <font>
        <sz val="12"/>
      </font>
    </dxf>
    <dxf>
      <font>
        <b val="0"/>
      </font>
    </dxf>
    <dxf>
      <font>
        <b val="0"/>
      </font>
    </dxf>
    <dxf>
      <font>
        <b val="0"/>
      </font>
    </dxf>
    <dxf>
      <font>
        <b val="0"/>
      </font>
    </dxf>
    <dxf>
      <font>
        <b val="0"/>
      </font>
    </dxf>
    <dxf>
      <font>
        <b val="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Cambria"/>
        <family val="1"/>
        <scheme val="major"/>
      </font>
    </dxf>
    <dxf>
      <font>
        <name val="Cambria"/>
        <family val="1"/>
        <scheme val="major"/>
      </font>
    </dxf>
    <dxf>
      <font>
        <name val="Cambria"/>
        <family val="1"/>
        <scheme val="major"/>
      </font>
    </dxf>
    <dxf>
      <font>
        <name val="Cambria"/>
        <family val="1"/>
        <scheme val="major"/>
      </font>
    </dxf>
    <dxf>
      <font>
        <name val="Cambria"/>
        <family val="1"/>
        <scheme val="major"/>
      </font>
    </dxf>
    <dxf>
      <font>
        <name val="Cambria"/>
        <family val="1"/>
        <scheme val="major"/>
      </font>
    </dxf>
    <dxf>
      <font>
        <name val="Cambria"/>
        <family val="1"/>
        <scheme val="major"/>
      </font>
    </dxf>
    <dxf>
      <font>
        <name val="Cambria"/>
        <family val="1"/>
        <scheme val="major"/>
      </font>
    </dxf>
    <dxf>
      <font>
        <name val="Cambria"/>
        <family val="1"/>
        <scheme val="major"/>
      </font>
    </dxf>
    <dxf>
      <font>
        <name val="Cambria"/>
        <family val="1"/>
        <scheme val="major"/>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b val="0"/>
      </font>
    </dxf>
    <dxf>
      <font>
        <b val="0"/>
      </font>
    </dxf>
    <dxf>
      <font>
        <b val="0"/>
      </font>
    </dxf>
    <dxf>
      <font>
        <b val="0"/>
      </font>
    </dxf>
    <dxf>
      <font>
        <b val="0"/>
      </font>
    </dxf>
    <dxf>
      <font>
        <b val="0"/>
      </font>
    </dxf>
    <dxf>
      <font>
        <b val="0"/>
      </font>
    </dxf>
    <dxf>
      <font>
        <b val="0"/>
      </font>
    </dxf>
    <dxf>
      <font>
        <b val="0"/>
      </font>
    </dxf>
    <dxf>
      <font>
        <b val="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Cambria"/>
        <family val="1"/>
        <scheme val="major"/>
      </font>
    </dxf>
    <dxf>
      <font>
        <name val="Cambria"/>
        <family val="1"/>
        <scheme val="major"/>
      </font>
    </dxf>
    <dxf>
      <font>
        <name val="Cambria"/>
        <family val="1"/>
        <scheme val="major"/>
      </font>
    </dxf>
    <dxf>
      <font>
        <name val="Cambria"/>
        <family val="1"/>
        <scheme val="major"/>
      </font>
    </dxf>
    <dxf>
      <font>
        <name val="Cambria"/>
        <family val="1"/>
        <scheme val="major"/>
      </font>
    </dxf>
    <dxf>
      <font>
        <name val="Cambria"/>
        <family val="1"/>
        <scheme val="major"/>
      </font>
    </dxf>
    <dxf>
      <font>
        <sz val="12"/>
      </font>
    </dxf>
    <dxf>
      <font>
        <sz val="12"/>
      </font>
    </dxf>
    <dxf>
      <font>
        <sz val="12"/>
      </font>
    </dxf>
    <dxf>
      <font>
        <sz val="12"/>
      </font>
    </dxf>
    <dxf>
      <font>
        <sz val="12"/>
      </font>
    </dxf>
    <dxf>
      <font>
        <sz val="12"/>
      </font>
    </dxf>
    <dxf>
      <font>
        <b val="0"/>
      </font>
    </dxf>
    <dxf>
      <font>
        <b val="0"/>
      </font>
    </dxf>
    <dxf>
      <font>
        <b val="0"/>
      </font>
    </dxf>
    <dxf>
      <font>
        <b val="0"/>
      </font>
    </dxf>
    <dxf>
      <font>
        <b val="0"/>
      </font>
    </dxf>
    <dxf>
      <font>
        <b val="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alignment horizontal="center"/>
    </dxf>
    <dxf>
      <alignment horizontal="center"/>
    </dxf>
    <dxf>
      <alignment horizontal="center"/>
    </dxf>
    <dxf>
      <font>
        <sz val="14"/>
      </font>
    </dxf>
    <dxf>
      <alignment horizontal="center"/>
    </dxf>
    <dxf>
      <font>
        <name val="Cambria"/>
        <family val="1"/>
        <scheme val="major"/>
      </font>
    </dxf>
    <dxf>
      <font>
        <name val="Cambria"/>
        <family val="1"/>
        <scheme val="major"/>
      </font>
    </dxf>
    <dxf>
      <font>
        <name val="Cambria"/>
        <family val="1"/>
        <scheme val="major"/>
      </font>
    </dxf>
    <dxf>
      <font>
        <name val="Cambria"/>
        <family val="1"/>
        <scheme val="major"/>
      </font>
    </dxf>
    <dxf>
      <font>
        <name val="Cambria"/>
        <family val="1"/>
        <scheme val="major"/>
      </font>
    </dxf>
    <dxf>
      <font>
        <name val="Cambria"/>
        <family val="1"/>
        <scheme val="major"/>
      </font>
    </dxf>
    <dxf>
      <font>
        <name val="Cambria"/>
        <family val="1"/>
        <scheme val="major"/>
      </font>
    </dxf>
    <dxf>
      <font>
        <name val="Cambria"/>
        <family val="1"/>
        <scheme val="major"/>
      </font>
    </dxf>
    <dxf>
      <font>
        <name val="Cambria"/>
        <family val="1"/>
        <scheme val="major"/>
      </font>
    </dxf>
    <dxf>
      <font>
        <name val="Cambria"/>
        <family val="1"/>
        <scheme val="major"/>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b val="0"/>
      </font>
    </dxf>
    <dxf>
      <font>
        <b val="0"/>
      </font>
    </dxf>
    <dxf>
      <font>
        <b val="0"/>
      </font>
    </dxf>
    <dxf>
      <font>
        <b val="0"/>
      </font>
    </dxf>
    <dxf>
      <font>
        <b val="0"/>
      </font>
    </dxf>
    <dxf>
      <font>
        <b val="0"/>
      </font>
    </dxf>
    <dxf>
      <font>
        <b val="0"/>
      </font>
    </dxf>
    <dxf>
      <font>
        <b val="0"/>
      </font>
    </dxf>
    <dxf>
      <font>
        <b val="0"/>
      </font>
    </dxf>
    <dxf>
      <font>
        <b val="0"/>
      </font>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Cambria"/>
        <family val="1"/>
        <scheme val="major"/>
      </font>
    </dxf>
    <dxf>
      <font>
        <name val="Cambria"/>
        <family val="1"/>
        <scheme val="major"/>
      </font>
    </dxf>
    <dxf>
      <font>
        <name val="Cambria"/>
        <family val="1"/>
        <scheme val="major"/>
      </font>
    </dxf>
    <dxf>
      <font>
        <sz val="12"/>
      </font>
    </dxf>
    <dxf>
      <font>
        <sz val="12"/>
      </font>
    </dxf>
    <dxf>
      <font>
        <sz val="12"/>
      </font>
    </dxf>
    <dxf>
      <font>
        <b val="0"/>
      </font>
    </dxf>
    <dxf>
      <font>
        <b val="0"/>
      </font>
    </dxf>
    <dxf>
      <font>
        <b val="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Cambria"/>
        <family val="1"/>
        <scheme val="major"/>
      </font>
    </dxf>
    <dxf>
      <font>
        <name val="Cambria"/>
        <family val="1"/>
        <scheme val="major"/>
      </font>
    </dxf>
    <dxf>
      <font>
        <name val="Cambria"/>
        <family val="1"/>
        <scheme val="major"/>
      </font>
    </dxf>
    <dxf>
      <font>
        <sz val="12"/>
      </font>
    </dxf>
    <dxf>
      <font>
        <sz val="12"/>
      </font>
    </dxf>
    <dxf>
      <font>
        <sz val="12"/>
      </font>
    </dxf>
    <dxf>
      <font>
        <b val="0"/>
      </font>
    </dxf>
    <dxf>
      <font>
        <b val="0"/>
      </font>
    </dxf>
    <dxf>
      <font>
        <b val="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font>
        <name val="Cambria"/>
        <family val="1"/>
        <scheme val="major"/>
      </font>
    </dxf>
    <dxf>
      <font>
        <name val="Cambria"/>
        <family val="1"/>
        <scheme val="major"/>
      </font>
    </dxf>
    <dxf>
      <font>
        <name val="Cambria"/>
        <family val="1"/>
        <scheme val="major"/>
      </font>
    </dxf>
    <dxf>
      <font>
        <name val="Cambria"/>
        <family val="1"/>
        <scheme val="major"/>
      </font>
    </dxf>
    <dxf>
      <font>
        <name val="Cambria"/>
        <family val="1"/>
        <scheme val="major"/>
      </font>
    </dxf>
    <dxf>
      <font>
        <name val="Cambria"/>
        <family val="1"/>
        <scheme val="major"/>
      </font>
    </dxf>
    <dxf>
      <font>
        <sz val="12"/>
      </font>
    </dxf>
    <dxf>
      <font>
        <sz val="12"/>
      </font>
    </dxf>
    <dxf>
      <font>
        <sz val="12"/>
      </font>
    </dxf>
    <dxf>
      <font>
        <sz val="12"/>
      </font>
    </dxf>
    <dxf>
      <font>
        <sz val="12"/>
      </font>
    </dxf>
    <dxf>
      <font>
        <sz val="12"/>
      </font>
    </dxf>
    <dxf>
      <font>
        <b val="0"/>
      </font>
    </dxf>
    <dxf>
      <font>
        <b val="0"/>
      </font>
    </dxf>
    <dxf>
      <font>
        <b val="0"/>
      </font>
    </dxf>
    <dxf>
      <font>
        <b val="0"/>
      </font>
    </dxf>
    <dxf>
      <font>
        <b val="0"/>
      </font>
    </dxf>
    <dxf>
      <font>
        <b val="0"/>
      </font>
    </dxf>
    <dxf>
      <numFmt numFmtId="0" formatCode="General"/>
    </dxf>
    <dxf>
      <font>
        <name val="Cambria"/>
        <family val="1"/>
        <scheme val="major"/>
      </font>
    </dxf>
    <dxf>
      <font>
        <name val="Cambria"/>
        <family val="1"/>
        <scheme val="major"/>
      </font>
    </dxf>
    <dxf>
      <font>
        <name val="Cambria"/>
        <family val="1"/>
        <scheme val="major"/>
      </font>
    </dxf>
    <dxf>
      <font>
        <name val="Cambria"/>
        <family val="1"/>
        <scheme val="major"/>
      </font>
    </dxf>
    <dxf>
      <font>
        <name val="Cambria"/>
        <family val="1"/>
        <scheme val="major"/>
      </font>
    </dxf>
    <dxf>
      <font>
        <name val="Cambria"/>
        <family val="1"/>
        <scheme val="major"/>
      </font>
    </dxf>
    <dxf>
      <font>
        <sz val="12"/>
      </font>
    </dxf>
    <dxf>
      <font>
        <sz val="12"/>
      </font>
    </dxf>
    <dxf>
      <font>
        <sz val="12"/>
      </font>
    </dxf>
    <dxf>
      <font>
        <sz val="12"/>
      </font>
    </dxf>
    <dxf>
      <font>
        <sz val="12"/>
      </font>
    </dxf>
    <dxf>
      <font>
        <sz val="12"/>
      </font>
    </dxf>
    <dxf>
      <font>
        <b val="0"/>
      </font>
    </dxf>
    <dxf>
      <font>
        <b val="0"/>
      </font>
    </dxf>
    <dxf>
      <font>
        <b val="0"/>
      </font>
    </dxf>
    <dxf>
      <font>
        <b val="0"/>
      </font>
    </dxf>
    <dxf>
      <font>
        <b val="0"/>
      </font>
    </dxf>
    <dxf>
      <font>
        <b val="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Cambria"/>
        <family val="1"/>
        <scheme val="major"/>
      </font>
    </dxf>
    <dxf>
      <font>
        <name val="Cambria"/>
        <family val="1"/>
        <scheme val="major"/>
      </font>
    </dxf>
    <dxf>
      <font>
        <name val="Cambria"/>
        <family val="1"/>
        <scheme val="major"/>
      </font>
    </dxf>
    <dxf>
      <font>
        <name val="Cambria"/>
        <family val="1"/>
        <scheme val="major"/>
      </font>
    </dxf>
    <dxf>
      <font>
        <name val="Cambria"/>
        <family val="1"/>
        <scheme val="major"/>
      </font>
    </dxf>
    <dxf>
      <font>
        <name val="Cambria"/>
        <family val="1"/>
        <scheme val="major"/>
      </font>
    </dxf>
    <dxf>
      <font>
        <name val="Cambria"/>
        <family val="1"/>
        <scheme val="major"/>
      </font>
    </dxf>
    <dxf>
      <font>
        <name val="Cambria"/>
        <family val="1"/>
        <scheme val="major"/>
      </font>
    </dxf>
    <dxf>
      <font>
        <name val="Cambria"/>
        <family val="1"/>
        <scheme val="major"/>
      </font>
    </dxf>
    <dxf>
      <font>
        <name val="Cambria"/>
        <family val="1"/>
        <scheme val="major"/>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b val="0"/>
      </font>
    </dxf>
    <dxf>
      <font>
        <b val="0"/>
      </font>
    </dxf>
    <dxf>
      <font>
        <b val="0"/>
      </font>
    </dxf>
    <dxf>
      <font>
        <b val="0"/>
      </font>
    </dxf>
    <dxf>
      <font>
        <b val="0"/>
      </font>
    </dxf>
    <dxf>
      <font>
        <b val="0"/>
      </font>
    </dxf>
    <dxf>
      <font>
        <b val="0"/>
      </font>
    </dxf>
    <dxf>
      <font>
        <b val="0"/>
      </font>
    </dxf>
    <dxf>
      <font>
        <b val="0"/>
      </font>
    </dxf>
    <dxf>
      <font>
        <b val="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Cambria"/>
        <family val="1"/>
        <scheme val="major"/>
      </font>
    </dxf>
    <dxf>
      <font>
        <name val="Cambria"/>
        <family val="1"/>
        <scheme val="major"/>
      </font>
    </dxf>
    <dxf>
      <font>
        <name val="Cambria"/>
        <family val="1"/>
        <scheme val="major"/>
      </font>
    </dxf>
    <dxf>
      <font>
        <name val="Cambria"/>
        <family val="1"/>
        <scheme val="major"/>
      </font>
    </dxf>
    <dxf>
      <font>
        <name val="Cambria"/>
        <family val="1"/>
        <scheme val="major"/>
      </font>
    </dxf>
    <dxf>
      <font>
        <name val="Cambria"/>
        <family val="1"/>
        <scheme val="major"/>
      </font>
    </dxf>
    <dxf>
      <font>
        <sz val="12"/>
      </font>
    </dxf>
    <dxf>
      <font>
        <sz val="12"/>
      </font>
    </dxf>
    <dxf>
      <font>
        <sz val="12"/>
      </font>
    </dxf>
    <dxf>
      <font>
        <sz val="12"/>
      </font>
    </dxf>
    <dxf>
      <font>
        <sz val="12"/>
      </font>
    </dxf>
    <dxf>
      <font>
        <sz val="12"/>
      </font>
    </dxf>
    <dxf>
      <font>
        <b val="0"/>
      </font>
    </dxf>
    <dxf>
      <font>
        <b val="0"/>
      </font>
    </dxf>
    <dxf>
      <font>
        <b val="0"/>
      </font>
    </dxf>
    <dxf>
      <font>
        <b val="0"/>
      </font>
    </dxf>
    <dxf>
      <font>
        <b val="0"/>
      </font>
    </dxf>
    <dxf>
      <font>
        <b val="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alignment horizontal="center"/>
    </dxf>
    <dxf>
      <alignment horizontal="center"/>
    </dxf>
    <dxf>
      <alignment horizontal="center"/>
    </dxf>
    <dxf>
      <font>
        <sz val="14"/>
      </font>
    </dxf>
    <dxf>
      <alignment horizontal="center"/>
    </dxf>
    <dxf>
      <font>
        <name val="Cambria"/>
        <family val="1"/>
        <scheme val="major"/>
      </font>
    </dxf>
    <dxf>
      <font>
        <name val="Cambria"/>
        <family val="1"/>
        <scheme val="major"/>
      </font>
    </dxf>
    <dxf>
      <font>
        <name val="Cambria"/>
        <family val="1"/>
        <scheme val="major"/>
      </font>
    </dxf>
    <dxf>
      <font>
        <name val="Cambria"/>
        <family val="1"/>
        <scheme val="major"/>
      </font>
    </dxf>
    <dxf>
      <font>
        <name val="Cambria"/>
        <family val="1"/>
        <scheme val="major"/>
      </font>
    </dxf>
    <dxf>
      <font>
        <name val="Cambria"/>
        <family val="1"/>
        <scheme val="major"/>
      </font>
    </dxf>
    <dxf>
      <font>
        <name val="Cambria"/>
        <family val="1"/>
        <scheme val="major"/>
      </font>
    </dxf>
    <dxf>
      <font>
        <name val="Cambria"/>
        <family val="1"/>
        <scheme val="major"/>
      </font>
    </dxf>
    <dxf>
      <font>
        <name val="Cambria"/>
        <family val="1"/>
        <scheme val="major"/>
      </font>
    </dxf>
    <dxf>
      <font>
        <name val="Cambria"/>
        <family val="1"/>
        <scheme val="major"/>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b val="0"/>
      </font>
    </dxf>
    <dxf>
      <font>
        <b val="0"/>
      </font>
    </dxf>
    <dxf>
      <font>
        <b val="0"/>
      </font>
    </dxf>
    <dxf>
      <font>
        <b val="0"/>
      </font>
    </dxf>
    <dxf>
      <font>
        <b val="0"/>
      </font>
    </dxf>
    <dxf>
      <font>
        <b val="0"/>
      </font>
    </dxf>
    <dxf>
      <font>
        <b val="0"/>
      </font>
    </dxf>
    <dxf>
      <font>
        <b val="0"/>
      </font>
    </dxf>
    <dxf>
      <font>
        <b val="0"/>
      </font>
    </dxf>
    <dxf>
      <font>
        <b val="0"/>
      </font>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Cambria"/>
        <family val="1"/>
        <scheme val="major"/>
      </font>
    </dxf>
    <dxf>
      <font>
        <name val="Cambria"/>
        <family val="1"/>
        <scheme val="major"/>
      </font>
    </dxf>
    <dxf>
      <font>
        <name val="Cambria"/>
        <family val="1"/>
        <scheme val="major"/>
      </font>
    </dxf>
    <dxf>
      <font>
        <sz val="12"/>
      </font>
    </dxf>
    <dxf>
      <font>
        <sz val="12"/>
      </font>
    </dxf>
    <dxf>
      <font>
        <sz val="12"/>
      </font>
    </dxf>
    <dxf>
      <font>
        <b val="0"/>
      </font>
    </dxf>
    <dxf>
      <font>
        <b val="0"/>
      </font>
    </dxf>
    <dxf>
      <font>
        <b val="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Cambria"/>
        <family val="1"/>
        <scheme val="major"/>
      </font>
    </dxf>
    <dxf>
      <font>
        <name val="Cambria"/>
        <family val="1"/>
        <scheme val="major"/>
      </font>
    </dxf>
    <dxf>
      <font>
        <name val="Cambria"/>
        <family val="1"/>
        <scheme val="major"/>
      </font>
    </dxf>
    <dxf>
      <font>
        <sz val="12"/>
      </font>
    </dxf>
    <dxf>
      <font>
        <sz val="12"/>
      </font>
    </dxf>
    <dxf>
      <font>
        <sz val="12"/>
      </font>
    </dxf>
    <dxf>
      <font>
        <b val="0"/>
      </font>
    </dxf>
    <dxf>
      <font>
        <b val="0"/>
      </font>
    </dxf>
    <dxf>
      <font>
        <b val="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font>
        <name val="Cambria"/>
        <family val="1"/>
        <scheme val="major"/>
      </font>
    </dxf>
    <dxf>
      <font>
        <name val="Cambria"/>
        <family val="1"/>
        <scheme val="major"/>
      </font>
    </dxf>
    <dxf>
      <font>
        <name val="Cambria"/>
        <family val="1"/>
        <scheme val="major"/>
      </font>
    </dxf>
    <dxf>
      <font>
        <name val="Cambria"/>
        <family val="1"/>
        <scheme val="major"/>
      </font>
    </dxf>
    <dxf>
      <font>
        <name val="Cambria"/>
        <family val="1"/>
        <scheme val="major"/>
      </font>
    </dxf>
    <dxf>
      <font>
        <name val="Cambria"/>
        <family val="1"/>
        <scheme val="major"/>
      </font>
    </dxf>
    <dxf>
      <font>
        <sz val="12"/>
      </font>
    </dxf>
    <dxf>
      <font>
        <sz val="12"/>
      </font>
    </dxf>
    <dxf>
      <font>
        <sz val="12"/>
      </font>
    </dxf>
    <dxf>
      <font>
        <sz val="12"/>
      </font>
    </dxf>
    <dxf>
      <font>
        <sz val="12"/>
      </font>
    </dxf>
    <dxf>
      <font>
        <sz val="12"/>
      </font>
    </dxf>
    <dxf>
      <font>
        <b val="0"/>
      </font>
    </dxf>
    <dxf>
      <font>
        <b val="0"/>
      </font>
    </dxf>
    <dxf>
      <font>
        <b val="0"/>
      </font>
    </dxf>
    <dxf>
      <font>
        <b val="0"/>
      </font>
    </dxf>
    <dxf>
      <font>
        <b val="0"/>
      </font>
    </dxf>
    <dxf>
      <font>
        <b val="0"/>
      </font>
    </dxf>
    <dxf>
      <numFmt numFmtId="0" formatCode="General"/>
    </dxf>
    <dxf>
      <font>
        <name val="Cambria"/>
        <family val="1"/>
        <scheme val="major"/>
      </font>
    </dxf>
    <dxf>
      <font>
        <name val="Cambria"/>
        <family val="1"/>
        <scheme val="major"/>
      </font>
    </dxf>
    <dxf>
      <font>
        <name val="Cambria"/>
        <family val="1"/>
        <scheme val="major"/>
      </font>
    </dxf>
    <dxf>
      <font>
        <name val="Cambria"/>
        <family val="1"/>
        <scheme val="major"/>
      </font>
    </dxf>
    <dxf>
      <font>
        <name val="Cambria"/>
        <family val="1"/>
        <scheme val="major"/>
      </font>
    </dxf>
    <dxf>
      <font>
        <name val="Cambria"/>
        <family val="1"/>
        <scheme val="major"/>
      </font>
    </dxf>
    <dxf>
      <font>
        <sz val="12"/>
      </font>
    </dxf>
    <dxf>
      <font>
        <sz val="12"/>
      </font>
    </dxf>
    <dxf>
      <font>
        <sz val="12"/>
      </font>
    </dxf>
    <dxf>
      <font>
        <sz val="12"/>
      </font>
    </dxf>
    <dxf>
      <font>
        <sz val="12"/>
      </font>
    </dxf>
    <dxf>
      <font>
        <sz val="12"/>
      </font>
    </dxf>
    <dxf>
      <font>
        <b val="0"/>
      </font>
    </dxf>
    <dxf>
      <font>
        <b val="0"/>
      </font>
    </dxf>
    <dxf>
      <font>
        <b val="0"/>
      </font>
    </dxf>
    <dxf>
      <font>
        <b val="0"/>
      </font>
    </dxf>
    <dxf>
      <font>
        <b val="0"/>
      </font>
    </dxf>
    <dxf>
      <font>
        <b val="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Cambria"/>
        <family val="1"/>
        <scheme val="major"/>
      </font>
    </dxf>
    <dxf>
      <font>
        <name val="Cambria"/>
        <family val="1"/>
        <scheme val="major"/>
      </font>
    </dxf>
    <dxf>
      <font>
        <name val="Cambria"/>
        <family val="1"/>
        <scheme val="major"/>
      </font>
    </dxf>
    <dxf>
      <font>
        <name val="Cambria"/>
        <family val="1"/>
        <scheme val="major"/>
      </font>
    </dxf>
    <dxf>
      <font>
        <name val="Cambria"/>
        <family val="1"/>
        <scheme val="major"/>
      </font>
    </dxf>
    <dxf>
      <font>
        <name val="Cambria"/>
        <family val="1"/>
        <scheme val="major"/>
      </font>
    </dxf>
    <dxf>
      <font>
        <name val="Cambria"/>
        <family val="1"/>
        <scheme val="major"/>
      </font>
    </dxf>
    <dxf>
      <font>
        <name val="Cambria"/>
        <family val="1"/>
        <scheme val="major"/>
      </font>
    </dxf>
    <dxf>
      <font>
        <name val="Cambria"/>
        <family val="1"/>
        <scheme val="major"/>
      </font>
    </dxf>
    <dxf>
      <font>
        <name val="Cambria"/>
        <family val="1"/>
        <scheme val="major"/>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b val="0"/>
      </font>
    </dxf>
    <dxf>
      <font>
        <b val="0"/>
      </font>
    </dxf>
    <dxf>
      <font>
        <b val="0"/>
      </font>
    </dxf>
    <dxf>
      <font>
        <b val="0"/>
      </font>
    </dxf>
    <dxf>
      <font>
        <b val="0"/>
      </font>
    </dxf>
    <dxf>
      <font>
        <b val="0"/>
      </font>
    </dxf>
    <dxf>
      <font>
        <b val="0"/>
      </font>
    </dxf>
    <dxf>
      <font>
        <b val="0"/>
      </font>
    </dxf>
    <dxf>
      <font>
        <b val="0"/>
      </font>
    </dxf>
    <dxf>
      <font>
        <b val="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Cambria"/>
        <family val="1"/>
        <scheme val="major"/>
      </font>
    </dxf>
    <dxf>
      <font>
        <name val="Cambria"/>
        <family val="1"/>
        <scheme val="major"/>
      </font>
    </dxf>
    <dxf>
      <font>
        <name val="Cambria"/>
        <family val="1"/>
        <scheme val="major"/>
      </font>
    </dxf>
    <dxf>
      <font>
        <name val="Cambria"/>
        <family val="1"/>
        <scheme val="major"/>
      </font>
    </dxf>
    <dxf>
      <font>
        <name val="Cambria"/>
        <family val="1"/>
        <scheme val="major"/>
      </font>
    </dxf>
    <dxf>
      <font>
        <name val="Cambria"/>
        <family val="1"/>
        <scheme val="major"/>
      </font>
    </dxf>
    <dxf>
      <font>
        <sz val="12"/>
      </font>
    </dxf>
    <dxf>
      <font>
        <sz val="12"/>
      </font>
    </dxf>
    <dxf>
      <font>
        <sz val="12"/>
      </font>
    </dxf>
    <dxf>
      <font>
        <sz val="12"/>
      </font>
    </dxf>
    <dxf>
      <font>
        <sz val="12"/>
      </font>
    </dxf>
    <dxf>
      <font>
        <sz val="12"/>
      </font>
    </dxf>
    <dxf>
      <font>
        <b val="0"/>
      </font>
    </dxf>
    <dxf>
      <font>
        <b val="0"/>
      </font>
    </dxf>
    <dxf>
      <font>
        <b val="0"/>
      </font>
    </dxf>
    <dxf>
      <font>
        <b val="0"/>
      </font>
    </dxf>
    <dxf>
      <font>
        <b val="0"/>
      </font>
    </dxf>
    <dxf>
      <font>
        <b val="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alignment horizontal="center"/>
    </dxf>
    <dxf>
      <alignment horizontal="center"/>
    </dxf>
    <dxf>
      <alignment horizontal="center"/>
    </dxf>
    <dxf>
      <font>
        <sz val="14"/>
      </font>
    </dxf>
    <dxf>
      <alignment horizontal="center"/>
    </dxf>
    <dxf>
      <font>
        <name val="Cambria"/>
        <family val="1"/>
        <scheme val="major"/>
      </font>
    </dxf>
    <dxf>
      <font>
        <name val="Cambria"/>
        <family val="1"/>
        <scheme val="major"/>
      </font>
    </dxf>
    <dxf>
      <font>
        <name val="Cambria"/>
        <family val="1"/>
        <scheme val="major"/>
      </font>
    </dxf>
    <dxf>
      <font>
        <name val="Cambria"/>
        <family val="1"/>
        <scheme val="major"/>
      </font>
    </dxf>
    <dxf>
      <font>
        <name val="Cambria"/>
        <family val="1"/>
        <scheme val="major"/>
      </font>
    </dxf>
    <dxf>
      <font>
        <name val="Cambria"/>
        <family val="1"/>
        <scheme val="major"/>
      </font>
    </dxf>
    <dxf>
      <font>
        <name val="Cambria"/>
        <family val="1"/>
        <scheme val="major"/>
      </font>
    </dxf>
    <dxf>
      <font>
        <name val="Cambria"/>
        <family val="1"/>
        <scheme val="major"/>
      </font>
    </dxf>
    <dxf>
      <font>
        <name val="Cambria"/>
        <family val="1"/>
        <scheme val="major"/>
      </font>
    </dxf>
    <dxf>
      <font>
        <name val="Cambria"/>
        <family val="1"/>
        <scheme val="major"/>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b val="0"/>
      </font>
    </dxf>
    <dxf>
      <font>
        <b val="0"/>
      </font>
    </dxf>
    <dxf>
      <font>
        <b val="0"/>
      </font>
    </dxf>
    <dxf>
      <font>
        <b val="0"/>
      </font>
    </dxf>
    <dxf>
      <font>
        <b val="0"/>
      </font>
    </dxf>
    <dxf>
      <font>
        <b val="0"/>
      </font>
    </dxf>
    <dxf>
      <font>
        <b val="0"/>
      </font>
    </dxf>
    <dxf>
      <font>
        <b val="0"/>
      </font>
    </dxf>
    <dxf>
      <font>
        <b val="0"/>
      </font>
    </dxf>
    <dxf>
      <font>
        <b val="0"/>
      </font>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Cambria"/>
        <family val="1"/>
        <scheme val="major"/>
      </font>
    </dxf>
    <dxf>
      <font>
        <name val="Cambria"/>
        <family val="1"/>
        <scheme val="major"/>
      </font>
    </dxf>
    <dxf>
      <font>
        <name val="Cambria"/>
        <family val="1"/>
        <scheme val="major"/>
      </font>
    </dxf>
    <dxf>
      <font>
        <sz val="12"/>
      </font>
    </dxf>
    <dxf>
      <font>
        <sz val="12"/>
      </font>
    </dxf>
    <dxf>
      <font>
        <sz val="12"/>
      </font>
    </dxf>
    <dxf>
      <font>
        <b val="0"/>
      </font>
    </dxf>
    <dxf>
      <font>
        <b val="0"/>
      </font>
    </dxf>
    <dxf>
      <font>
        <b val="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Cambria"/>
        <family val="1"/>
        <scheme val="major"/>
      </font>
    </dxf>
    <dxf>
      <font>
        <name val="Cambria"/>
        <family val="1"/>
        <scheme val="major"/>
      </font>
    </dxf>
    <dxf>
      <font>
        <name val="Cambria"/>
        <family val="1"/>
        <scheme val="major"/>
      </font>
    </dxf>
    <dxf>
      <font>
        <sz val="12"/>
      </font>
    </dxf>
    <dxf>
      <font>
        <sz val="12"/>
      </font>
    </dxf>
    <dxf>
      <font>
        <sz val="12"/>
      </font>
    </dxf>
    <dxf>
      <font>
        <b val="0"/>
      </font>
    </dxf>
    <dxf>
      <font>
        <b val="0"/>
      </font>
    </dxf>
    <dxf>
      <font>
        <b val="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font>
        <name val="Cambria"/>
        <family val="1"/>
        <scheme val="major"/>
      </font>
    </dxf>
    <dxf>
      <font>
        <name val="Cambria"/>
        <family val="1"/>
        <scheme val="major"/>
      </font>
    </dxf>
    <dxf>
      <font>
        <name val="Cambria"/>
        <family val="1"/>
        <scheme val="major"/>
      </font>
    </dxf>
    <dxf>
      <font>
        <name val="Cambria"/>
        <family val="1"/>
        <scheme val="major"/>
      </font>
    </dxf>
    <dxf>
      <font>
        <name val="Cambria"/>
        <family val="1"/>
        <scheme val="major"/>
      </font>
    </dxf>
    <dxf>
      <font>
        <name val="Cambria"/>
        <family val="1"/>
        <scheme val="major"/>
      </font>
    </dxf>
    <dxf>
      <font>
        <sz val="12"/>
      </font>
    </dxf>
    <dxf>
      <font>
        <sz val="12"/>
      </font>
    </dxf>
    <dxf>
      <font>
        <sz val="12"/>
      </font>
    </dxf>
    <dxf>
      <font>
        <sz val="12"/>
      </font>
    </dxf>
    <dxf>
      <font>
        <sz val="12"/>
      </font>
    </dxf>
    <dxf>
      <font>
        <sz val="12"/>
      </font>
    </dxf>
    <dxf>
      <font>
        <b val="0"/>
      </font>
    </dxf>
    <dxf>
      <font>
        <b val="0"/>
      </font>
    </dxf>
    <dxf>
      <font>
        <b val="0"/>
      </font>
    </dxf>
    <dxf>
      <font>
        <b val="0"/>
      </font>
    </dxf>
    <dxf>
      <font>
        <b val="0"/>
      </font>
    </dxf>
    <dxf>
      <font>
        <b val="0"/>
      </font>
    </dxf>
    <dxf>
      <numFmt numFmtId="0" formatCode="General"/>
    </dxf>
    <dxf>
      <font>
        <name val="Cambria"/>
        <family val="1"/>
        <scheme val="major"/>
      </font>
    </dxf>
    <dxf>
      <font>
        <name val="Cambria"/>
        <family val="1"/>
        <scheme val="major"/>
      </font>
    </dxf>
    <dxf>
      <font>
        <name val="Cambria"/>
        <family val="1"/>
        <scheme val="major"/>
      </font>
    </dxf>
    <dxf>
      <font>
        <name val="Cambria"/>
        <family val="1"/>
        <scheme val="major"/>
      </font>
    </dxf>
    <dxf>
      <font>
        <name val="Cambria"/>
        <family val="1"/>
        <scheme val="major"/>
      </font>
    </dxf>
    <dxf>
      <font>
        <name val="Cambria"/>
        <family val="1"/>
        <scheme val="major"/>
      </font>
    </dxf>
    <dxf>
      <font>
        <sz val="12"/>
      </font>
    </dxf>
    <dxf>
      <font>
        <sz val="12"/>
      </font>
    </dxf>
    <dxf>
      <font>
        <sz val="12"/>
      </font>
    </dxf>
    <dxf>
      <font>
        <sz val="12"/>
      </font>
    </dxf>
    <dxf>
      <font>
        <sz val="12"/>
      </font>
    </dxf>
    <dxf>
      <font>
        <sz val="12"/>
      </font>
    </dxf>
    <dxf>
      <font>
        <b val="0"/>
      </font>
    </dxf>
    <dxf>
      <font>
        <b val="0"/>
      </font>
    </dxf>
    <dxf>
      <font>
        <b val="0"/>
      </font>
    </dxf>
    <dxf>
      <font>
        <b val="0"/>
      </font>
    </dxf>
    <dxf>
      <font>
        <b val="0"/>
      </font>
    </dxf>
    <dxf>
      <font>
        <b val="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Cambria"/>
        <family val="1"/>
        <scheme val="major"/>
      </font>
    </dxf>
    <dxf>
      <font>
        <name val="Cambria"/>
        <family val="1"/>
        <scheme val="major"/>
      </font>
    </dxf>
    <dxf>
      <font>
        <name val="Cambria"/>
        <family val="1"/>
        <scheme val="major"/>
      </font>
    </dxf>
    <dxf>
      <font>
        <name val="Cambria"/>
        <family val="1"/>
        <scheme val="major"/>
      </font>
    </dxf>
    <dxf>
      <font>
        <name val="Cambria"/>
        <family val="1"/>
        <scheme val="major"/>
      </font>
    </dxf>
    <dxf>
      <font>
        <name val="Cambria"/>
        <family val="1"/>
        <scheme val="major"/>
      </font>
    </dxf>
    <dxf>
      <font>
        <name val="Cambria"/>
        <family val="1"/>
        <scheme val="major"/>
      </font>
    </dxf>
    <dxf>
      <font>
        <name val="Cambria"/>
        <family val="1"/>
        <scheme val="major"/>
      </font>
    </dxf>
    <dxf>
      <font>
        <name val="Cambria"/>
        <family val="1"/>
        <scheme val="major"/>
      </font>
    </dxf>
    <dxf>
      <font>
        <name val="Cambria"/>
        <family val="1"/>
        <scheme val="major"/>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b val="0"/>
      </font>
    </dxf>
    <dxf>
      <font>
        <b val="0"/>
      </font>
    </dxf>
    <dxf>
      <font>
        <b val="0"/>
      </font>
    </dxf>
    <dxf>
      <font>
        <b val="0"/>
      </font>
    </dxf>
    <dxf>
      <font>
        <b val="0"/>
      </font>
    </dxf>
    <dxf>
      <font>
        <b val="0"/>
      </font>
    </dxf>
    <dxf>
      <font>
        <b val="0"/>
      </font>
    </dxf>
    <dxf>
      <font>
        <b val="0"/>
      </font>
    </dxf>
    <dxf>
      <font>
        <b val="0"/>
      </font>
    </dxf>
    <dxf>
      <font>
        <b val="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Cambria"/>
        <family val="1"/>
        <scheme val="major"/>
      </font>
    </dxf>
    <dxf>
      <font>
        <name val="Cambria"/>
        <family val="1"/>
        <scheme val="major"/>
      </font>
    </dxf>
    <dxf>
      <font>
        <name val="Cambria"/>
        <family val="1"/>
        <scheme val="major"/>
      </font>
    </dxf>
    <dxf>
      <font>
        <name val="Cambria"/>
        <family val="1"/>
        <scheme val="major"/>
      </font>
    </dxf>
    <dxf>
      <font>
        <name val="Cambria"/>
        <family val="1"/>
        <scheme val="major"/>
      </font>
    </dxf>
    <dxf>
      <font>
        <name val="Cambria"/>
        <family val="1"/>
        <scheme val="major"/>
      </font>
    </dxf>
    <dxf>
      <font>
        <sz val="12"/>
      </font>
    </dxf>
    <dxf>
      <font>
        <sz val="12"/>
      </font>
    </dxf>
    <dxf>
      <font>
        <sz val="12"/>
      </font>
    </dxf>
    <dxf>
      <font>
        <sz val="12"/>
      </font>
    </dxf>
    <dxf>
      <font>
        <sz val="12"/>
      </font>
    </dxf>
    <dxf>
      <font>
        <sz val="12"/>
      </font>
    </dxf>
    <dxf>
      <font>
        <b val="0"/>
      </font>
    </dxf>
    <dxf>
      <font>
        <b val="0"/>
      </font>
    </dxf>
    <dxf>
      <font>
        <b val="0"/>
      </font>
    </dxf>
    <dxf>
      <font>
        <b val="0"/>
      </font>
    </dxf>
    <dxf>
      <font>
        <b val="0"/>
      </font>
    </dxf>
    <dxf>
      <font>
        <b val="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alignment horizontal="center"/>
    </dxf>
    <dxf>
      <alignment horizontal="center"/>
    </dxf>
    <dxf>
      <alignment horizontal="center"/>
    </dxf>
    <dxf>
      <font>
        <sz val="14"/>
      </font>
    </dxf>
    <dxf>
      <alignment horizontal="center"/>
    </dxf>
    <dxf>
      <font>
        <name val="Cambria"/>
        <family val="1"/>
        <scheme val="major"/>
      </font>
    </dxf>
    <dxf>
      <font>
        <name val="Cambria"/>
        <family val="1"/>
        <scheme val="major"/>
      </font>
    </dxf>
    <dxf>
      <font>
        <name val="Cambria"/>
        <family val="1"/>
        <scheme val="major"/>
      </font>
    </dxf>
    <dxf>
      <font>
        <name val="Cambria"/>
        <family val="1"/>
        <scheme val="major"/>
      </font>
    </dxf>
    <dxf>
      <font>
        <name val="Cambria"/>
        <family val="1"/>
        <scheme val="major"/>
      </font>
    </dxf>
    <dxf>
      <font>
        <name val="Cambria"/>
        <family val="1"/>
        <scheme val="major"/>
      </font>
    </dxf>
    <dxf>
      <font>
        <name val="Cambria"/>
        <family val="1"/>
        <scheme val="major"/>
      </font>
    </dxf>
    <dxf>
      <font>
        <name val="Cambria"/>
        <family val="1"/>
        <scheme val="major"/>
      </font>
    </dxf>
    <dxf>
      <font>
        <name val="Cambria"/>
        <family val="1"/>
        <scheme val="major"/>
      </font>
    </dxf>
    <dxf>
      <font>
        <name val="Cambria"/>
        <family val="1"/>
        <scheme val="major"/>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b val="0"/>
      </font>
    </dxf>
    <dxf>
      <font>
        <b val="0"/>
      </font>
    </dxf>
    <dxf>
      <font>
        <b val="0"/>
      </font>
    </dxf>
    <dxf>
      <font>
        <b val="0"/>
      </font>
    </dxf>
    <dxf>
      <font>
        <b val="0"/>
      </font>
    </dxf>
    <dxf>
      <font>
        <b val="0"/>
      </font>
    </dxf>
    <dxf>
      <font>
        <b val="0"/>
      </font>
    </dxf>
    <dxf>
      <font>
        <b val="0"/>
      </font>
    </dxf>
    <dxf>
      <font>
        <b val="0"/>
      </font>
    </dxf>
    <dxf>
      <font>
        <b val="0"/>
      </font>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Cambria"/>
        <family val="1"/>
        <scheme val="major"/>
      </font>
    </dxf>
    <dxf>
      <font>
        <name val="Cambria"/>
        <family val="1"/>
        <scheme val="major"/>
      </font>
    </dxf>
    <dxf>
      <font>
        <name val="Cambria"/>
        <family val="1"/>
        <scheme val="major"/>
      </font>
    </dxf>
    <dxf>
      <font>
        <sz val="12"/>
      </font>
    </dxf>
    <dxf>
      <font>
        <sz val="12"/>
      </font>
    </dxf>
    <dxf>
      <font>
        <sz val="12"/>
      </font>
    </dxf>
    <dxf>
      <font>
        <b val="0"/>
      </font>
    </dxf>
    <dxf>
      <font>
        <b val="0"/>
      </font>
    </dxf>
    <dxf>
      <font>
        <b val="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Cambria"/>
        <family val="1"/>
        <scheme val="major"/>
      </font>
    </dxf>
    <dxf>
      <font>
        <name val="Cambria"/>
        <family val="1"/>
        <scheme val="major"/>
      </font>
    </dxf>
    <dxf>
      <font>
        <name val="Cambria"/>
        <family val="1"/>
        <scheme val="major"/>
      </font>
    </dxf>
    <dxf>
      <font>
        <sz val="12"/>
      </font>
    </dxf>
    <dxf>
      <font>
        <sz val="12"/>
      </font>
    </dxf>
    <dxf>
      <font>
        <sz val="12"/>
      </font>
    </dxf>
    <dxf>
      <font>
        <b val="0"/>
      </font>
    </dxf>
    <dxf>
      <font>
        <b val="0"/>
      </font>
    </dxf>
    <dxf>
      <font>
        <b val="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font>
        <name val="Cambria"/>
        <family val="1"/>
        <scheme val="major"/>
      </font>
    </dxf>
    <dxf>
      <font>
        <name val="Cambria"/>
        <family val="1"/>
        <scheme val="major"/>
      </font>
    </dxf>
    <dxf>
      <font>
        <name val="Cambria"/>
        <family val="1"/>
        <scheme val="major"/>
      </font>
    </dxf>
    <dxf>
      <font>
        <name val="Cambria"/>
        <family val="1"/>
        <scheme val="major"/>
      </font>
    </dxf>
    <dxf>
      <font>
        <name val="Cambria"/>
        <family val="1"/>
        <scheme val="major"/>
      </font>
    </dxf>
    <dxf>
      <font>
        <name val="Cambria"/>
        <family val="1"/>
        <scheme val="major"/>
      </font>
    </dxf>
    <dxf>
      <font>
        <sz val="12"/>
      </font>
    </dxf>
    <dxf>
      <font>
        <sz val="12"/>
      </font>
    </dxf>
    <dxf>
      <font>
        <sz val="12"/>
      </font>
    </dxf>
    <dxf>
      <font>
        <sz val="12"/>
      </font>
    </dxf>
    <dxf>
      <font>
        <sz val="12"/>
      </font>
    </dxf>
    <dxf>
      <font>
        <sz val="12"/>
      </font>
    </dxf>
    <dxf>
      <font>
        <b val="0"/>
      </font>
    </dxf>
    <dxf>
      <font>
        <b val="0"/>
      </font>
    </dxf>
    <dxf>
      <font>
        <b val="0"/>
      </font>
    </dxf>
    <dxf>
      <font>
        <b val="0"/>
      </font>
    </dxf>
    <dxf>
      <font>
        <b val="0"/>
      </font>
    </dxf>
    <dxf>
      <font>
        <b val="0"/>
      </font>
    </dxf>
    <dxf>
      <numFmt numFmtId="0" formatCode="General"/>
    </dxf>
    <dxf>
      <font>
        <name val="Cambria"/>
        <family val="1"/>
        <scheme val="major"/>
      </font>
    </dxf>
    <dxf>
      <font>
        <name val="Cambria"/>
        <family val="1"/>
        <scheme val="major"/>
      </font>
    </dxf>
    <dxf>
      <font>
        <name val="Cambria"/>
        <family val="1"/>
        <scheme val="major"/>
      </font>
    </dxf>
    <dxf>
      <font>
        <name val="Cambria"/>
        <family val="1"/>
        <scheme val="major"/>
      </font>
    </dxf>
    <dxf>
      <font>
        <name val="Cambria"/>
        <family val="1"/>
        <scheme val="major"/>
      </font>
    </dxf>
    <dxf>
      <font>
        <name val="Cambria"/>
        <family val="1"/>
        <scheme val="major"/>
      </font>
    </dxf>
    <dxf>
      <font>
        <sz val="12"/>
      </font>
    </dxf>
    <dxf>
      <font>
        <sz val="12"/>
      </font>
    </dxf>
    <dxf>
      <font>
        <sz val="12"/>
      </font>
    </dxf>
    <dxf>
      <font>
        <sz val="12"/>
      </font>
    </dxf>
    <dxf>
      <font>
        <sz val="12"/>
      </font>
    </dxf>
    <dxf>
      <font>
        <sz val="12"/>
      </font>
    </dxf>
    <dxf>
      <font>
        <b val="0"/>
      </font>
    </dxf>
    <dxf>
      <font>
        <b val="0"/>
      </font>
    </dxf>
    <dxf>
      <font>
        <b val="0"/>
      </font>
    </dxf>
    <dxf>
      <font>
        <b val="0"/>
      </font>
    </dxf>
    <dxf>
      <font>
        <b val="0"/>
      </font>
    </dxf>
    <dxf>
      <font>
        <b val="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Cambria"/>
        <family val="1"/>
        <scheme val="major"/>
      </font>
    </dxf>
    <dxf>
      <font>
        <name val="Cambria"/>
        <family val="1"/>
        <scheme val="major"/>
      </font>
    </dxf>
    <dxf>
      <font>
        <name val="Cambria"/>
        <family val="1"/>
        <scheme val="major"/>
      </font>
    </dxf>
    <dxf>
      <font>
        <name val="Cambria"/>
        <family val="1"/>
        <scheme val="major"/>
      </font>
    </dxf>
    <dxf>
      <font>
        <name val="Cambria"/>
        <family val="1"/>
        <scheme val="major"/>
      </font>
    </dxf>
    <dxf>
      <font>
        <name val="Cambria"/>
        <family val="1"/>
        <scheme val="major"/>
      </font>
    </dxf>
    <dxf>
      <font>
        <name val="Cambria"/>
        <family val="1"/>
        <scheme val="major"/>
      </font>
    </dxf>
    <dxf>
      <font>
        <name val="Cambria"/>
        <family val="1"/>
        <scheme val="major"/>
      </font>
    </dxf>
    <dxf>
      <font>
        <name val="Cambria"/>
        <family val="1"/>
        <scheme val="major"/>
      </font>
    </dxf>
    <dxf>
      <font>
        <name val="Cambria"/>
        <family val="1"/>
        <scheme val="major"/>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b val="0"/>
      </font>
    </dxf>
    <dxf>
      <font>
        <b val="0"/>
      </font>
    </dxf>
    <dxf>
      <font>
        <b val="0"/>
      </font>
    </dxf>
    <dxf>
      <font>
        <b val="0"/>
      </font>
    </dxf>
    <dxf>
      <font>
        <b val="0"/>
      </font>
    </dxf>
    <dxf>
      <font>
        <b val="0"/>
      </font>
    </dxf>
    <dxf>
      <font>
        <b val="0"/>
      </font>
    </dxf>
    <dxf>
      <font>
        <b val="0"/>
      </font>
    </dxf>
    <dxf>
      <font>
        <b val="0"/>
      </font>
    </dxf>
    <dxf>
      <font>
        <b val="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Cambria"/>
        <family val="1"/>
        <scheme val="major"/>
      </font>
    </dxf>
    <dxf>
      <font>
        <name val="Cambria"/>
        <family val="1"/>
        <scheme val="major"/>
      </font>
    </dxf>
    <dxf>
      <font>
        <name val="Cambria"/>
        <family val="1"/>
        <scheme val="major"/>
      </font>
    </dxf>
    <dxf>
      <font>
        <name val="Cambria"/>
        <family val="1"/>
        <scheme val="major"/>
      </font>
    </dxf>
    <dxf>
      <font>
        <name val="Cambria"/>
        <family val="1"/>
        <scheme val="major"/>
      </font>
    </dxf>
    <dxf>
      <font>
        <name val="Cambria"/>
        <family val="1"/>
        <scheme val="major"/>
      </font>
    </dxf>
    <dxf>
      <font>
        <sz val="12"/>
      </font>
    </dxf>
    <dxf>
      <font>
        <sz val="12"/>
      </font>
    </dxf>
    <dxf>
      <font>
        <sz val="12"/>
      </font>
    </dxf>
    <dxf>
      <font>
        <sz val="12"/>
      </font>
    </dxf>
    <dxf>
      <font>
        <sz val="12"/>
      </font>
    </dxf>
    <dxf>
      <font>
        <sz val="12"/>
      </font>
    </dxf>
    <dxf>
      <font>
        <b val="0"/>
      </font>
    </dxf>
    <dxf>
      <font>
        <b val="0"/>
      </font>
    </dxf>
    <dxf>
      <font>
        <b val="0"/>
      </font>
    </dxf>
    <dxf>
      <font>
        <b val="0"/>
      </font>
    </dxf>
    <dxf>
      <font>
        <b val="0"/>
      </font>
    </dxf>
    <dxf>
      <font>
        <b val="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alignment horizontal="center"/>
    </dxf>
    <dxf>
      <alignment horizontal="center"/>
    </dxf>
    <dxf>
      <alignment horizontal="center"/>
    </dxf>
    <dxf>
      <font>
        <sz val="14"/>
      </font>
    </dxf>
    <dxf>
      <alignment horizontal="center"/>
    </dxf>
    <dxf>
      <font>
        <name val="Cambria"/>
        <family val="1"/>
        <scheme val="major"/>
      </font>
    </dxf>
    <dxf>
      <font>
        <name val="Cambria"/>
        <family val="1"/>
        <scheme val="major"/>
      </font>
    </dxf>
    <dxf>
      <font>
        <name val="Cambria"/>
        <family val="1"/>
        <scheme val="major"/>
      </font>
    </dxf>
    <dxf>
      <font>
        <name val="Cambria"/>
        <family val="1"/>
        <scheme val="major"/>
      </font>
    </dxf>
    <dxf>
      <font>
        <name val="Cambria"/>
        <family val="1"/>
        <scheme val="major"/>
      </font>
    </dxf>
    <dxf>
      <font>
        <name val="Cambria"/>
        <family val="1"/>
        <scheme val="major"/>
      </font>
    </dxf>
    <dxf>
      <font>
        <name val="Cambria"/>
        <family val="1"/>
        <scheme val="major"/>
      </font>
    </dxf>
    <dxf>
      <font>
        <name val="Cambria"/>
        <family val="1"/>
        <scheme val="major"/>
      </font>
    </dxf>
    <dxf>
      <font>
        <name val="Cambria"/>
        <family val="1"/>
        <scheme val="major"/>
      </font>
    </dxf>
    <dxf>
      <font>
        <name val="Cambria"/>
        <family val="1"/>
        <scheme val="major"/>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b val="0"/>
      </font>
    </dxf>
    <dxf>
      <font>
        <b val="0"/>
      </font>
    </dxf>
    <dxf>
      <font>
        <b val="0"/>
      </font>
    </dxf>
    <dxf>
      <font>
        <b val="0"/>
      </font>
    </dxf>
    <dxf>
      <font>
        <b val="0"/>
      </font>
    </dxf>
    <dxf>
      <font>
        <b val="0"/>
      </font>
    </dxf>
    <dxf>
      <font>
        <b val="0"/>
      </font>
    </dxf>
    <dxf>
      <font>
        <b val="0"/>
      </font>
    </dxf>
    <dxf>
      <font>
        <b val="0"/>
      </font>
    </dxf>
    <dxf>
      <font>
        <b val="0"/>
      </font>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4"/>
        <color auto="1"/>
        <name val="Cambria"/>
        <family val="1"/>
        <scheme val="major"/>
      </font>
      <fill>
        <patternFill patternType="solid">
          <fgColor indexed="64"/>
          <bgColor theme="8" tint="0.39997558519241921"/>
        </patternFill>
      </fill>
      <alignment horizontal="center" vertical="center" textRotation="0" wrapText="1" indent="0" justifyLastLine="0" shrinkToFit="0" readingOrder="0"/>
      <border diagonalUp="0" diagonalDown="0" outline="0">
        <left style="thin">
          <color indexed="64"/>
        </left>
        <right style="thin">
          <color indexed="64"/>
        </right>
        <top/>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val="0"/>
      </font>
    </dxf>
    <dxf>
      <font>
        <b val="0"/>
      </font>
    </dxf>
    <dxf>
      <font>
        <b val="0"/>
      </font>
    </dxf>
    <dxf>
      <font>
        <sz val="12"/>
      </font>
    </dxf>
    <dxf>
      <font>
        <sz val="12"/>
      </font>
    </dxf>
    <dxf>
      <font>
        <sz val="12"/>
      </font>
    </dxf>
    <dxf>
      <font>
        <name val="Cambria"/>
        <family val="1"/>
        <scheme val="major"/>
      </font>
    </dxf>
    <dxf>
      <font>
        <name val="Cambria"/>
        <family val="1"/>
        <scheme val="major"/>
      </font>
    </dxf>
    <dxf>
      <font>
        <name val="Cambria"/>
        <family val="1"/>
        <scheme val="maj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font>
        <b val="0"/>
      </font>
    </dxf>
    <dxf>
      <font>
        <b val="0"/>
      </font>
    </dxf>
    <dxf>
      <font>
        <b val="0"/>
      </font>
    </dxf>
    <dxf>
      <font>
        <b val="0"/>
      </font>
    </dxf>
    <dxf>
      <font>
        <b val="0"/>
      </font>
    </dxf>
    <dxf>
      <font>
        <b val="0"/>
      </font>
    </dxf>
    <dxf>
      <font>
        <b val="0"/>
      </font>
    </dxf>
    <dxf>
      <font>
        <b val="0"/>
      </font>
    </dxf>
    <dxf>
      <font>
        <b val="0"/>
      </font>
    </dxf>
    <dxf>
      <font>
        <b val="0"/>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name val="Cambria"/>
        <family val="1"/>
        <scheme val="major"/>
      </font>
    </dxf>
    <dxf>
      <font>
        <name val="Cambria"/>
        <family val="1"/>
        <scheme val="major"/>
      </font>
    </dxf>
    <dxf>
      <font>
        <name val="Cambria"/>
        <family val="1"/>
        <scheme val="major"/>
      </font>
    </dxf>
    <dxf>
      <font>
        <name val="Cambria"/>
        <family val="1"/>
        <scheme val="major"/>
      </font>
    </dxf>
    <dxf>
      <font>
        <name val="Cambria"/>
        <family val="1"/>
        <scheme val="major"/>
      </font>
    </dxf>
    <dxf>
      <font>
        <name val="Cambria"/>
        <family val="1"/>
        <scheme val="major"/>
      </font>
    </dxf>
    <dxf>
      <font>
        <name val="Cambria"/>
        <family val="1"/>
        <scheme val="major"/>
      </font>
    </dxf>
    <dxf>
      <font>
        <name val="Cambria"/>
        <family val="1"/>
        <scheme val="major"/>
      </font>
    </dxf>
    <dxf>
      <font>
        <name val="Cambria"/>
        <family val="1"/>
        <scheme val="major"/>
      </font>
    </dxf>
    <dxf>
      <font>
        <name val="Cambria"/>
        <family val="1"/>
        <scheme val="major"/>
      </font>
    </dxf>
    <dxf>
      <alignment horizontal="center"/>
    </dxf>
    <dxf>
      <font>
        <sz val="14"/>
      </font>
    </dxf>
    <dxf>
      <alignment horizontal="center"/>
    </dxf>
    <dxf>
      <alignment horizontal="center"/>
    </dxf>
    <dxf>
      <alignment horizontal="cent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val="0"/>
      </font>
    </dxf>
    <dxf>
      <font>
        <b val="0"/>
      </font>
    </dxf>
    <dxf>
      <font>
        <b val="0"/>
      </font>
    </dxf>
    <dxf>
      <font>
        <sz val="12"/>
      </font>
    </dxf>
    <dxf>
      <font>
        <sz val="12"/>
      </font>
    </dxf>
    <dxf>
      <font>
        <sz val="12"/>
      </font>
    </dxf>
    <dxf>
      <font>
        <name val="Cambria"/>
        <family val="1"/>
        <scheme val="major"/>
      </font>
    </dxf>
    <dxf>
      <font>
        <name val="Cambria"/>
        <family val="1"/>
        <scheme val="major"/>
      </font>
    </dxf>
    <dxf>
      <font>
        <name val="Cambria"/>
        <family val="1"/>
        <scheme val="maj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val="0"/>
      </font>
    </dxf>
    <dxf>
      <font>
        <b val="0"/>
      </font>
    </dxf>
    <dxf>
      <font>
        <b val="0"/>
      </font>
    </dxf>
    <dxf>
      <font>
        <sz val="12"/>
      </font>
    </dxf>
    <dxf>
      <font>
        <sz val="12"/>
      </font>
    </dxf>
    <dxf>
      <font>
        <sz val="12"/>
      </font>
    </dxf>
    <dxf>
      <font>
        <name val="Cambria"/>
        <family val="1"/>
        <scheme val="major"/>
      </font>
    </dxf>
    <dxf>
      <font>
        <name val="Cambria"/>
        <family val="1"/>
        <scheme val="major"/>
      </font>
    </dxf>
    <dxf>
      <font>
        <name val="Cambria"/>
        <family val="1"/>
        <scheme val="maj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val="0"/>
      </font>
    </dxf>
    <dxf>
      <font>
        <b val="0"/>
      </font>
    </dxf>
    <dxf>
      <font>
        <b val="0"/>
      </font>
    </dxf>
    <dxf>
      <font>
        <b val="0"/>
      </font>
    </dxf>
    <dxf>
      <font>
        <b val="0"/>
      </font>
    </dxf>
    <dxf>
      <font>
        <b val="0"/>
      </font>
    </dxf>
    <dxf>
      <font>
        <sz val="12"/>
      </font>
    </dxf>
    <dxf>
      <font>
        <sz val="12"/>
      </font>
    </dxf>
    <dxf>
      <font>
        <sz val="12"/>
      </font>
    </dxf>
    <dxf>
      <font>
        <sz val="12"/>
      </font>
    </dxf>
    <dxf>
      <font>
        <sz val="12"/>
      </font>
    </dxf>
    <dxf>
      <font>
        <sz val="12"/>
      </font>
    </dxf>
    <dxf>
      <font>
        <name val="Cambria"/>
        <family val="1"/>
        <scheme val="major"/>
      </font>
    </dxf>
    <dxf>
      <font>
        <name val="Cambria"/>
        <family val="1"/>
        <scheme val="major"/>
      </font>
    </dxf>
    <dxf>
      <font>
        <name val="Cambria"/>
        <family val="1"/>
        <scheme val="major"/>
      </font>
    </dxf>
    <dxf>
      <font>
        <name val="Cambria"/>
        <family val="1"/>
        <scheme val="major"/>
      </font>
    </dxf>
    <dxf>
      <font>
        <name val="Cambria"/>
        <family val="1"/>
        <scheme val="major"/>
      </font>
    </dxf>
    <dxf>
      <font>
        <name val="Cambria"/>
        <family val="1"/>
        <scheme val="maj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val="0"/>
      </font>
    </dxf>
    <dxf>
      <font>
        <b val="0"/>
      </font>
    </dxf>
    <dxf>
      <font>
        <b val="0"/>
      </font>
    </dxf>
    <dxf>
      <font>
        <b val="0"/>
      </font>
    </dxf>
    <dxf>
      <font>
        <b val="0"/>
      </font>
    </dxf>
    <dxf>
      <font>
        <b val="0"/>
      </font>
    </dxf>
    <dxf>
      <font>
        <sz val="12"/>
      </font>
    </dxf>
    <dxf>
      <font>
        <sz val="12"/>
      </font>
    </dxf>
    <dxf>
      <font>
        <sz val="12"/>
      </font>
    </dxf>
    <dxf>
      <font>
        <sz val="12"/>
      </font>
    </dxf>
    <dxf>
      <font>
        <sz val="12"/>
      </font>
    </dxf>
    <dxf>
      <font>
        <sz val="12"/>
      </font>
    </dxf>
    <dxf>
      <font>
        <name val="Cambria"/>
        <family val="1"/>
        <scheme val="major"/>
      </font>
    </dxf>
    <dxf>
      <font>
        <name val="Cambria"/>
        <family val="1"/>
        <scheme val="major"/>
      </font>
    </dxf>
    <dxf>
      <font>
        <name val="Cambria"/>
        <family val="1"/>
        <scheme val="major"/>
      </font>
    </dxf>
    <dxf>
      <font>
        <name val="Cambria"/>
        <family val="1"/>
        <scheme val="major"/>
      </font>
    </dxf>
    <dxf>
      <font>
        <name val="Cambria"/>
        <family val="1"/>
        <scheme val="major"/>
      </font>
    </dxf>
    <dxf>
      <font>
        <name val="Cambria"/>
        <family val="1"/>
        <scheme val="major"/>
      </font>
    </dxf>
    <dxf>
      <numFmt numFmtId="0" formatCode="Genera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val="0"/>
      </font>
    </dxf>
    <dxf>
      <font>
        <b val="0"/>
      </font>
    </dxf>
    <dxf>
      <font>
        <b val="0"/>
      </font>
    </dxf>
    <dxf>
      <font>
        <sz val="12"/>
      </font>
    </dxf>
    <dxf>
      <font>
        <sz val="12"/>
      </font>
    </dxf>
    <dxf>
      <font>
        <sz val="12"/>
      </font>
    </dxf>
    <dxf>
      <font>
        <name val="Cambria"/>
        <family val="1"/>
        <scheme val="major"/>
      </font>
    </dxf>
    <dxf>
      <font>
        <name val="Cambria"/>
        <family val="1"/>
        <scheme val="major"/>
      </font>
    </dxf>
    <dxf>
      <font>
        <name val="Cambria"/>
        <family val="1"/>
        <scheme val="major"/>
      </font>
    </dxf>
    <dxf>
      <font>
        <b val="0"/>
      </font>
    </dxf>
    <dxf>
      <font>
        <b val="0"/>
      </font>
    </dxf>
    <dxf>
      <font>
        <b val="0"/>
      </font>
    </dxf>
    <dxf>
      <font>
        <b val="0"/>
      </font>
    </dxf>
    <dxf>
      <font>
        <b val="0"/>
      </font>
    </dxf>
    <dxf>
      <font>
        <b val="0"/>
      </font>
    </dxf>
    <dxf>
      <font>
        <sz val="12"/>
      </font>
    </dxf>
    <dxf>
      <font>
        <sz val="12"/>
      </font>
    </dxf>
    <dxf>
      <font>
        <sz val="12"/>
      </font>
    </dxf>
    <dxf>
      <font>
        <sz val="12"/>
      </font>
    </dxf>
    <dxf>
      <font>
        <sz val="12"/>
      </font>
    </dxf>
    <dxf>
      <font>
        <sz val="12"/>
      </font>
    </dxf>
    <dxf>
      <font>
        <name val="Cambria"/>
        <family val="1"/>
        <scheme val="major"/>
      </font>
    </dxf>
    <dxf>
      <font>
        <name val="Cambria"/>
        <family val="1"/>
        <scheme val="major"/>
      </font>
    </dxf>
    <dxf>
      <font>
        <name val="Cambria"/>
        <family val="1"/>
        <scheme val="major"/>
      </font>
    </dxf>
    <dxf>
      <font>
        <name val="Cambria"/>
        <family val="1"/>
        <scheme val="major"/>
      </font>
    </dxf>
    <dxf>
      <font>
        <name val="Cambria"/>
        <family val="1"/>
        <scheme val="major"/>
      </font>
    </dxf>
    <dxf>
      <font>
        <name val="Cambria"/>
        <family val="1"/>
        <scheme val="major"/>
      </font>
    </dxf>
    <dxf>
      <alignment horizontal="center"/>
    </dxf>
    <dxf>
      <alignment horizontal="center"/>
    </dxf>
    <dxf>
      <alignment horizontal="center"/>
    </dxf>
    <dxf>
      <alignment horizontal="center"/>
    </dxf>
    <dxf>
      <alignment horizontal="center"/>
    </dxf>
    <dxf>
      <alignment horizontal="cent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val="0"/>
      </font>
    </dxf>
    <dxf>
      <font>
        <b val="0"/>
      </font>
    </dxf>
    <dxf>
      <font>
        <b val="0"/>
      </font>
    </dxf>
    <dxf>
      <font>
        <b val="0"/>
      </font>
    </dxf>
    <dxf>
      <font>
        <b val="0"/>
      </font>
    </dxf>
    <dxf>
      <font>
        <b val="0"/>
      </font>
    </dxf>
    <dxf>
      <font>
        <b val="0"/>
      </font>
    </dxf>
    <dxf>
      <font>
        <b val="0"/>
      </font>
    </dxf>
    <dxf>
      <font>
        <b val="0"/>
      </font>
    </dxf>
    <dxf>
      <font>
        <b val="0"/>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name val="Cambria"/>
        <family val="1"/>
        <scheme val="major"/>
      </font>
    </dxf>
    <dxf>
      <font>
        <name val="Cambria"/>
        <family val="1"/>
        <scheme val="major"/>
      </font>
    </dxf>
    <dxf>
      <font>
        <name val="Cambria"/>
        <family val="1"/>
        <scheme val="major"/>
      </font>
    </dxf>
    <dxf>
      <font>
        <name val="Cambria"/>
        <family val="1"/>
        <scheme val="major"/>
      </font>
    </dxf>
    <dxf>
      <font>
        <name val="Cambria"/>
        <family val="1"/>
        <scheme val="major"/>
      </font>
    </dxf>
    <dxf>
      <font>
        <name val="Cambria"/>
        <family val="1"/>
        <scheme val="major"/>
      </font>
    </dxf>
    <dxf>
      <font>
        <name val="Cambria"/>
        <family val="1"/>
        <scheme val="major"/>
      </font>
    </dxf>
    <dxf>
      <font>
        <name val="Cambria"/>
        <family val="1"/>
        <scheme val="major"/>
      </font>
    </dxf>
    <dxf>
      <font>
        <name val="Cambria"/>
        <family val="1"/>
        <scheme val="major"/>
      </font>
    </dxf>
    <dxf>
      <font>
        <name val="Cambria"/>
        <family val="1"/>
        <scheme val="maj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val="0"/>
      </font>
    </dxf>
    <dxf>
      <font>
        <b val="0"/>
      </font>
    </dxf>
    <dxf>
      <font>
        <b val="0"/>
      </font>
    </dxf>
    <dxf>
      <font>
        <b val="0"/>
      </font>
    </dxf>
    <dxf>
      <font>
        <b val="0"/>
      </font>
    </dxf>
    <dxf>
      <font>
        <b val="0"/>
      </font>
    </dxf>
    <dxf>
      <font>
        <sz val="12"/>
      </font>
    </dxf>
    <dxf>
      <font>
        <sz val="12"/>
      </font>
    </dxf>
    <dxf>
      <font>
        <sz val="12"/>
      </font>
    </dxf>
    <dxf>
      <font>
        <sz val="12"/>
      </font>
    </dxf>
    <dxf>
      <font>
        <sz val="12"/>
      </font>
    </dxf>
    <dxf>
      <font>
        <sz val="12"/>
      </font>
    </dxf>
    <dxf>
      <font>
        <name val="Cambria"/>
        <family val="1"/>
        <scheme val="major"/>
      </font>
    </dxf>
    <dxf>
      <font>
        <name val="Cambria"/>
        <family val="1"/>
        <scheme val="major"/>
      </font>
    </dxf>
    <dxf>
      <font>
        <name val="Cambria"/>
        <family val="1"/>
        <scheme val="major"/>
      </font>
    </dxf>
    <dxf>
      <font>
        <name val="Cambria"/>
        <family val="1"/>
        <scheme val="major"/>
      </font>
    </dxf>
    <dxf>
      <font>
        <name val="Cambria"/>
        <family val="1"/>
        <scheme val="major"/>
      </font>
    </dxf>
    <dxf>
      <font>
        <name val="Cambria"/>
        <family val="1"/>
        <scheme val="maj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val="0"/>
      </font>
    </dxf>
    <dxf>
      <font>
        <b val="0"/>
      </font>
    </dxf>
    <dxf>
      <font>
        <b val="0"/>
      </font>
    </dxf>
    <dxf>
      <font>
        <sz val="12"/>
      </font>
    </dxf>
    <dxf>
      <font>
        <sz val="12"/>
      </font>
    </dxf>
    <dxf>
      <font>
        <sz val="12"/>
      </font>
    </dxf>
    <dxf>
      <font>
        <name val="Cambria"/>
        <family val="1"/>
        <scheme val="major"/>
      </font>
    </dxf>
    <dxf>
      <font>
        <name val="Cambria"/>
        <family val="1"/>
        <scheme val="major"/>
      </font>
    </dxf>
    <dxf>
      <font>
        <name val="Cambria"/>
        <family val="1"/>
        <scheme val="major"/>
      </font>
    </dxf>
    <dxf>
      <font>
        <b val="0"/>
        <i val="0"/>
        <strike val="0"/>
        <condense val="0"/>
        <extend val="0"/>
        <outline val="0"/>
        <shadow val="0"/>
        <u val="none"/>
        <vertAlign val="baseline"/>
        <sz val="11"/>
        <color theme="1"/>
        <name val="Cambria"/>
        <family val="1"/>
        <scheme val="major"/>
      </font>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theme="1"/>
        <name val="Cambria"/>
        <family val="1"/>
        <scheme val="major"/>
      </font>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Cambria"/>
        <family val="1"/>
        <scheme val="major"/>
      </font>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Cambria"/>
        <family val="1"/>
        <scheme val="major"/>
      </font>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Cambria"/>
        <family val="1"/>
        <scheme val="major"/>
      </font>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Cambria"/>
        <family val="1"/>
        <scheme val="major"/>
      </font>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Cambria"/>
        <family val="1"/>
        <scheme val="major"/>
      </font>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Cambria"/>
        <family val="1"/>
        <scheme val="major"/>
      </font>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Cambria"/>
        <family val="1"/>
        <scheme val="major"/>
      </font>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Cambria"/>
        <family val="1"/>
        <scheme val="major"/>
      </font>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Cambria"/>
        <family val="1"/>
        <scheme val="major"/>
      </font>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auto="1"/>
        </left>
        <right style="thin">
          <color auto="1"/>
        </right>
        <top style="thin">
          <color indexed="64"/>
        </top>
        <bottom style="thin">
          <color indexed="64"/>
        </bottom>
      </border>
    </dxf>
    <dxf>
      <font>
        <b val="0"/>
        <i val="0"/>
        <strike val="0"/>
        <condense val="0"/>
        <extend val="0"/>
        <outline val="0"/>
        <shadow val="0"/>
        <u val="none"/>
        <vertAlign val="baseline"/>
        <sz val="11"/>
        <color theme="1"/>
        <name val="Cambria"/>
        <family val="1"/>
        <scheme val="major"/>
      </font>
      <alignment horizontal="center" vertical="bottom" textRotation="0" wrapText="0" indent="0" justifyLastLine="0" shrinkToFit="0" readingOrder="0"/>
    </dxf>
    <dxf>
      <border outline="0">
        <bottom style="thin">
          <color indexed="64"/>
        </bottom>
      </border>
    </dxf>
    <dxf>
      <font>
        <b/>
        <i val="0"/>
        <sz val="10"/>
        <name val="Cambria"/>
        <family val="1"/>
        <scheme val="major"/>
      </font>
    </dxf>
    <dxf>
      <font>
        <b/>
        <i val="0"/>
        <sz val="10"/>
        <color theme="1"/>
        <name val="Cambria"/>
        <family val="1"/>
        <scheme val="major"/>
      </font>
    </dxf>
  </dxfs>
  <tableStyles count="11" defaultTableStyle="TableStyleMedium9" defaultPivotStyle="PivotStyleLight16">
    <tableStyle name="Invisible" pivot="0" table="0" count="0" xr9:uid="{2AEC0ED8-7690-4222-A6C0-48179AA323E2}"/>
    <tableStyle name="Slicer Style 1" pivot="0" table="0" count="1" xr9:uid="{0A3A7B37-CEFF-4E76-B735-D0DA61E0EB05}"/>
    <tableStyle name="Slicer Style 10" pivot="0" table="0" count="1" xr9:uid="{23D32F3B-5205-46C3-B494-77901368BDAF}"/>
    <tableStyle name="Slicer Style 2" pivot="0" table="0" count="1" xr9:uid="{5D745B61-248C-4A1C-973A-366582E6FD67}"/>
    <tableStyle name="Slicer Style 3" pivot="0" table="0" count="1" xr9:uid="{C66ACF29-73D8-4CD4-82BE-C2C985E173F1}"/>
    <tableStyle name="Slicer Style 4" pivot="0" table="0" count="1" xr9:uid="{380B077A-7B2D-4DC3-95FA-07F32DAEED12}"/>
    <tableStyle name="Slicer Style 5" pivot="0" table="0" count="1" xr9:uid="{CA323916-2BAB-427B-89B2-0EB9DBC95ED4}"/>
    <tableStyle name="Slicer Style 6" pivot="0" table="0" count="1" xr9:uid="{FDC95ACB-1F54-4C32-AA60-DC8867E881DD}"/>
    <tableStyle name="Slicer Style 7" pivot="0" table="0" count="1" xr9:uid="{417BA545-3704-464B-A7C6-65EA8CD8D41E}">
      <tableStyleElement type="wholeTable" dxfId="3227"/>
    </tableStyle>
    <tableStyle name="Slicer Style 8" pivot="0" table="0" count="3" xr9:uid="{C3CCF1E7-E20A-4835-A310-740C3631BEB9}"/>
    <tableStyle name="Slicer Style 9" pivot="0" table="0" count="1" xr9:uid="{426B65FE-24BB-4A57-8F46-CE53167C3046}">
      <tableStyleElement type="wholeTable" dxfId="3226"/>
    </tableStyle>
  </tableStyles>
  <colors>
    <mruColors>
      <color rgb="FF568424"/>
    </mruColors>
  </colors>
  <extLst>
    <ext xmlns:x14="http://schemas.microsoft.com/office/spreadsheetml/2009/9/main" uri="{46F421CA-312F-682f-3DD2-61675219B42D}">
      <x14:dxfs count="10">
        <dxf>
          <font>
            <name val="Cambria"/>
            <family val="1"/>
            <scheme val="major"/>
          </font>
        </dxf>
        <dxf>
          <font>
            <b/>
            <i val="0"/>
            <sz val="10"/>
            <color theme="1"/>
            <name val="Cambria"/>
            <family val="1"/>
            <scheme val="major"/>
          </font>
        </dxf>
        <dxf>
          <font>
            <name val="Cambria"/>
            <family val="1"/>
            <scheme val="major"/>
          </font>
        </dxf>
        <dxf>
          <font>
            <b/>
            <i val="0"/>
            <sz val="11"/>
            <color theme="1"/>
            <name val="Cambria"/>
            <family val="1"/>
            <scheme val="major"/>
          </font>
        </dxf>
        <dxf>
          <font>
            <b/>
            <i val="0"/>
            <color theme="1"/>
            <name val="Cambria"/>
            <family val="1"/>
            <scheme val="major"/>
          </font>
        </dxf>
        <dxf>
          <font>
            <b/>
            <i val="0"/>
            <color auto="1"/>
          </font>
        </dxf>
        <dxf>
          <font>
            <b/>
            <i val="0"/>
            <color theme="1"/>
          </font>
        </dxf>
        <dxf>
          <font>
            <b/>
            <i val="0"/>
            <color theme="1"/>
          </font>
        </dxf>
        <dxf>
          <font>
            <name val="Cambria"/>
            <family val="1"/>
            <scheme val="major"/>
          </font>
        </dxf>
        <dxf>
          <font>
            <b/>
            <i val="0"/>
            <color theme="1"/>
          </font>
          <fill>
            <patternFill>
              <bgColor theme="1"/>
            </patternFill>
          </fill>
        </dxf>
      </x14:dxfs>
    </ext>
    <ext xmlns:x14="http://schemas.microsoft.com/office/spreadsheetml/2009/9/main" uri="{EB79DEF2-80B8-43e5-95BD-54CBDDF9020C}">
      <x14:slicerStyles defaultSlicerStyle="Slicer Style 7">
        <x14:slicerStyle name="Slicer Style 1">
          <x14:slicerStyleElements>
            <x14:slicerStyleElement type="unselectedItemWithData" dxfId="9"/>
          </x14:slicerStyleElements>
        </x14:slicerStyle>
        <x14:slicerStyle name="Slicer Style 10">
          <x14:slicerStyleElements>
            <x14:slicerStyleElement type="selectedItemWithData" dxfId="8"/>
          </x14:slicerStyleElements>
        </x14:slicerStyle>
        <x14:slicerStyle name="Slicer Style 2">
          <x14:slicerStyleElements>
            <x14:slicerStyleElement type="unselectedItemWithData" dxfId="7"/>
          </x14:slicerStyleElements>
        </x14:slicerStyle>
        <x14:slicerStyle name="Slicer Style 3">
          <x14:slicerStyleElements>
            <x14:slicerStyleElement type="unselectedItemWithData" dxfId="6"/>
          </x14:slicerStyleElements>
        </x14:slicerStyle>
        <x14:slicerStyle name="Slicer Style 4">
          <x14:slicerStyleElements>
            <x14:slicerStyleElement type="unselectedItemWithData" dxfId="5"/>
          </x14:slicerStyleElements>
        </x14:slicerStyle>
        <x14:slicerStyle name="Slicer Style 5">
          <x14:slicerStyleElements>
            <x14:slicerStyleElement type="unselectedItemWithData" dxfId="4"/>
          </x14:slicerStyleElements>
        </x14:slicerStyle>
        <x14:slicerStyle name="Slicer Style 6">
          <x14:slicerStyleElements>
            <x14:slicerStyleElement type="unselectedItemWithData" dxfId="3"/>
          </x14:slicerStyleElements>
        </x14:slicerStyle>
        <x14:slicerStyle name="Slicer Style 7"/>
        <x14:slicerStyle name="Slicer Style 8">
          <x14:slicerStyleElements>
            <x14:slicerStyleElement type="unselectedItemWithData" dxfId="2"/>
            <x14:slicerStyleElement type="unselectedItemWithNoData" dxfId="1"/>
            <x14:slicerStyleElement type="selectedItemWithData" dxfId="0"/>
          </x14:slicerStyleElements>
        </x14:slicerStyle>
        <x14:slicerStyle name="Slicer Style 9"/>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3.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microsoft.com/office/2007/relationships/slicerCache" Target="slicerCaches/slicerCache4.xml"/><Relationship Id="rId5" Type="http://schemas.openxmlformats.org/officeDocument/2006/relationships/pivotCacheDefinition" Target="pivotCache/pivotCacheDefinition1.xml"/><Relationship Id="rId15" Type="http://schemas.openxmlformats.org/officeDocument/2006/relationships/calcChain" Target="calcChain.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Project.xlsx]Manufecturing pivot table!PivotTable3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effectLst/>
                <a:latin typeface="+mn-lt"/>
                <a:ea typeface="+mn-ea"/>
                <a:cs typeface="+mn-cs"/>
              </a:defRPr>
            </a:pPr>
            <a:r>
              <a:rPr lang="en-IN" sz="1200" b="1" i="1">
                <a:solidFill>
                  <a:schemeClr val="tx1"/>
                </a:solidFill>
                <a:effectLst/>
                <a:latin typeface="+mj-lt"/>
              </a:rPr>
              <a:t>Defect</a:t>
            </a:r>
            <a:r>
              <a:rPr lang="en-IN" sz="1200" b="1" i="1" baseline="0">
                <a:solidFill>
                  <a:schemeClr val="tx1"/>
                </a:solidFill>
                <a:effectLst/>
                <a:latin typeface="+mj-lt"/>
              </a:rPr>
              <a:t> count by machine for each product</a:t>
            </a:r>
            <a:endParaRPr lang="en-IN" sz="1200" b="1" i="1">
              <a:solidFill>
                <a:schemeClr val="tx1"/>
              </a:solidFill>
              <a:effectLst/>
              <a:latin typeface="+mj-l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effectLst/>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'Manufecturing pivot table'!$H$3:$H$4</c:f>
              <c:strCache>
                <c:ptCount val="1"/>
                <c:pt idx="0">
                  <c:v>Assembly</c:v>
                </c:pt>
              </c:strCache>
            </c:strRef>
          </c:tx>
          <c:spPr>
            <a:solidFill>
              <a:schemeClr val="accent1"/>
            </a:solidFill>
            <a:ln>
              <a:noFill/>
            </a:ln>
            <a:effectLst/>
          </c:spPr>
          <c:invertIfNegative val="0"/>
          <c:cat>
            <c:strRef>
              <c:f>'Manufecturing pivot table'!$G$5:$G$9</c:f>
              <c:strCache>
                <c:ptCount val="4"/>
                <c:pt idx="0">
                  <c:v>Aluminum Sheets</c:v>
                </c:pt>
                <c:pt idx="1">
                  <c:v>Copper Pipes</c:v>
                </c:pt>
                <c:pt idx="2">
                  <c:v>Plastic Gears</c:v>
                </c:pt>
                <c:pt idx="3">
                  <c:v>Steel Bolts</c:v>
                </c:pt>
              </c:strCache>
            </c:strRef>
          </c:cat>
          <c:val>
            <c:numRef>
              <c:f>'Manufecturing pivot table'!$H$5:$H$9</c:f>
              <c:numCache>
                <c:formatCode>General</c:formatCode>
                <c:ptCount val="4"/>
                <c:pt idx="0">
                  <c:v>1149</c:v>
                </c:pt>
                <c:pt idx="1">
                  <c:v>1290</c:v>
                </c:pt>
                <c:pt idx="2">
                  <c:v>1160</c:v>
                </c:pt>
                <c:pt idx="3">
                  <c:v>1202</c:v>
                </c:pt>
              </c:numCache>
            </c:numRef>
          </c:val>
          <c:extLst>
            <c:ext xmlns:c16="http://schemas.microsoft.com/office/drawing/2014/chart" uri="{C3380CC4-5D6E-409C-BE32-E72D297353CC}">
              <c16:uniqueId val="{00000000-E305-4DBF-A394-D8949DF5FFD0}"/>
            </c:ext>
          </c:extLst>
        </c:ser>
        <c:ser>
          <c:idx val="1"/>
          <c:order val="1"/>
          <c:tx>
            <c:strRef>
              <c:f>'Manufecturing pivot table'!$I$3:$I$4</c:f>
              <c:strCache>
                <c:ptCount val="1"/>
                <c:pt idx="0">
                  <c:v>Cutting</c:v>
                </c:pt>
              </c:strCache>
            </c:strRef>
          </c:tx>
          <c:spPr>
            <a:solidFill>
              <a:schemeClr val="accent2"/>
            </a:solidFill>
            <a:ln>
              <a:noFill/>
            </a:ln>
            <a:effectLst/>
          </c:spPr>
          <c:invertIfNegative val="0"/>
          <c:cat>
            <c:strRef>
              <c:f>'Manufecturing pivot table'!$G$5:$G$9</c:f>
              <c:strCache>
                <c:ptCount val="4"/>
                <c:pt idx="0">
                  <c:v>Aluminum Sheets</c:v>
                </c:pt>
                <c:pt idx="1">
                  <c:v>Copper Pipes</c:v>
                </c:pt>
                <c:pt idx="2">
                  <c:v>Plastic Gears</c:v>
                </c:pt>
                <c:pt idx="3">
                  <c:v>Steel Bolts</c:v>
                </c:pt>
              </c:strCache>
            </c:strRef>
          </c:cat>
          <c:val>
            <c:numRef>
              <c:f>'Manufecturing pivot table'!$I$5:$I$9</c:f>
              <c:numCache>
                <c:formatCode>General</c:formatCode>
                <c:ptCount val="4"/>
                <c:pt idx="0">
                  <c:v>1156</c:v>
                </c:pt>
                <c:pt idx="1">
                  <c:v>1785</c:v>
                </c:pt>
                <c:pt idx="2">
                  <c:v>1151</c:v>
                </c:pt>
                <c:pt idx="3">
                  <c:v>1664</c:v>
                </c:pt>
              </c:numCache>
            </c:numRef>
          </c:val>
          <c:extLst>
            <c:ext xmlns:c16="http://schemas.microsoft.com/office/drawing/2014/chart" uri="{C3380CC4-5D6E-409C-BE32-E72D297353CC}">
              <c16:uniqueId val="{00000001-181D-4FE8-91B4-390AF4B078F2}"/>
            </c:ext>
          </c:extLst>
        </c:ser>
        <c:ser>
          <c:idx val="2"/>
          <c:order val="2"/>
          <c:tx>
            <c:strRef>
              <c:f>'Manufecturing pivot table'!$J$3:$J$4</c:f>
              <c:strCache>
                <c:ptCount val="1"/>
                <c:pt idx="0">
                  <c:v>Painting</c:v>
                </c:pt>
              </c:strCache>
            </c:strRef>
          </c:tx>
          <c:spPr>
            <a:solidFill>
              <a:schemeClr val="accent3"/>
            </a:solidFill>
            <a:ln>
              <a:noFill/>
            </a:ln>
            <a:effectLst/>
          </c:spPr>
          <c:invertIfNegative val="0"/>
          <c:cat>
            <c:strRef>
              <c:f>'Manufecturing pivot table'!$G$5:$G$9</c:f>
              <c:strCache>
                <c:ptCount val="4"/>
                <c:pt idx="0">
                  <c:v>Aluminum Sheets</c:v>
                </c:pt>
                <c:pt idx="1">
                  <c:v>Copper Pipes</c:v>
                </c:pt>
                <c:pt idx="2">
                  <c:v>Plastic Gears</c:v>
                </c:pt>
                <c:pt idx="3">
                  <c:v>Steel Bolts</c:v>
                </c:pt>
              </c:strCache>
            </c:strRef>
          </c:cat>
          <c:val>
            <c:numRef>
              <c:f>'Manufecturing pivot table'!$J$5:$J$9</c:f>
              <c:numCache>
                <c:formatCode>General</c:formatCode>
                <c:ptCount val="4"/>
                <c:pt idx="0">
                  <c:v>1223</c:v>
                </c:pt>
                <c:pt idx="1">
                  <c:v>1569</c:v>
                </c:pt>
                <c:pt idx="2">
                  <c:v>1197</c:v>
                </c:pt>
                <c:pt idx="3">
                  <c:v>1018</c:v>
                </c:pt>
              </c:numCache>
            </c:numRef>
          </c:val>
          <c:extLst>
            <c:ext xmlns:c16="http://schemas.microsoft.com/office/drawing/2014/chart" uri="{C3380CC4-5D6E-409C-BE32-E72D297353CC}">
              <c16:uniqueId val="{00000002-181D-4FE8-91B4-390AF4B078F2}"/>
            </c:ext>
          </c:extLst>
        </c:ser>
        <c:ser>
          <c:idx val="3"/>
          <c:order val="3"/>
          <c:tx>
            <c:strRef>
              <c:f>'Manufecturing pivot table'!$K$3:$K$4</c:f>
              <c:strCache>
                <c:ptCount val="1"/>
                <c:pt idx="0">
                  <c:v>Welding</c:v>
                </c:pt>
              </c:strCache>
            </c:strRef>
          </c:tx>
          <c:spPr>
            <a:solidFill>
              <a:schemeClr val="accent4"/>
            </a:solidFill>
            <a:ln>
              <a:noFill/>
            </a:ln>
            <a:effectLst/>
          </c:spPr>
          <c:invertIfNegative val="0"/>
          <c:cat>
            <c:strRef>
              <c:f>'Manufecturing pivot table'!$G$5:$G$9</c:f>
              <c:strCache>
                <c:ptCount val="4"/>
                <c:pt idx="0">
                  <c:v>Aluminum Sheets</c:v>
                </c:pt>
                <c:pt idx="1">
                  <c:v>Copper Pipes</c:v>
                </c:pt>
                <c:pt idx="2">
                  <c:v>Plastic Gears</c:v>
                </c:pt>
                <c:pt idx="3">
                  <c:v>Steel Bolts</c:v>
                </c:pt>
              </c:strCache>
            </c:strRef>
          </c:cat>
          <c:val>
            <c:numRef>
              <c:f>'Manufecturing pivot table'!$K$5:$K$9</c:f>
              <c:numCache>
                <c:formatCode>General</c:formatCode>
                <c:ptCount val="4"/>
                <c:pt idx="0">
                  <c:v>1168</c:v>
                </c:pt>
                <c:pt idx="1">
                  <c:v>1213</c:v>
                </c:pt>
                <c:pt idx="2">
                  <c:v>1193</c:v>
                </c:pt>
                <c:pt idx="3">
                  <c:v>1317</c:v>
                </c:pt>
              </c:numCache>
            </c:numRef>
          </c:val>
          <c:extLst>
            <c:ext xmlns:c16="http://schemas.microsoft.com/office/drawing/2014/chart" uri="{C3380CC4-5D6E-409C-BE32-E72D297353CC}">
              <c16:uniqueId val="{00000003-181D-4FE8-91B4-390AF4B078F2}"/>
            </c:ext>
          </c:extLst>
        </c:ser>
        <c:dLbls>
          <c:showLegendKey val="0"/>
          <c:showVal val="0"/>
          <c:showCatName val="0"/>
          <c:showSerName val="0"/>
          <c:showPercent val="0"/>
          <c:showBubbleSize val="0"/>
        </c:dLbls>
        <c:gapWidth val="219"/>
        <c:overlap val="-27"/>
        <c:axId val="1707435599"/>
        <c:axId val="1707436079"/>
      </c:barChart>
      <c:catAx>
        <c:axId val="170743559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100" b="1">
                    <a:solidFill>
                      <a:schemeClr val="tx1"/>
                    </a:solidFill>
                    <a:latin typeface="+mj-lt"/>
                  </a:rPr>
                  <a:t>Product</a:t>
                </a:r>
                <a:r>
                  <a:rPr lang="en-IN" b="1" baseline="0">
                    <a:solidFill>
                      <a:schemeClr val="tx1"/>
                    </a:solidFill>
                    <a:latin typeface="+mj-lt"/>
                  </a:rPr>
                  <a:t> </a:t>
                </a:r>
                <a:r>
                  <a:rPr lang="en-IN" sz="1100" b="1" baseline="0">
                    <a:solidFill>
                      <a:schemeClr val="tx1"/>
                    </a:solidFill>
                    <a:latin typeface="+mj-lt"/>
                  </a:rPr>
                  <a:t>name</a:t>
                </a:r>
                <a:endParaRPr lang="en-IN" sz="1100" b="1">
                  <a:solidFill>
                    <a:schemeClr val="tx1"/>
                  </a:solidFill>
                  <a:latin typeface="+mj-lt"/>
                </a:endParaRP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ln>
                  <a:noFill/>
                </a:ln>
                <a:solidFill>
                  <a:schemeClr val="tx1"/>
                </a:solidFill>
                <a:latin typeface="+mj-lt"/>
                <a:ea typeface="+mn-ea"/>
                <a:cs typeface="+mn-cs"/>
              </a:defRPr>
            </a:pPr>
            <a:endParaRPr lang="en-US"/>
          </a:p>
        </c:txPr>
        <c:crossAx val="1707436079"/>
        <c:crosses val="autoZero"/>
        <c:auto val="1"/>
        <c:lblAlgn val="ctr"/>
        <c:lblOffset val="100"/>
        <c:noMultiLvlLbl val="0"/>
      </c:catAx>
      <c:valAx>
        <c:axId val="1707436079"/>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100" b="1">
                    <a:solidFill>
                      <a:schemeClr val="tx1"/>
                    </a:solidFill>
                    <a:latin typeface="+mj-lt"/>
                  </a:rPr>
                  <a:t>Total</a:t>
                </a:r>
                <a:r>
                  <a:rPr lang="en-IN" sz="1100" b="1" baseline="0">
                    <a:solidFill>
                      <a:schemeClr val="tx1"/>
                    </a:solidFill>
                    <a:latin typeface="+mj-lt"/>
                  </a:rPr>
                  <a:t> Defect Count</a:t>
                </a:r>
                <a:endParaRPr lang="en-IN" sz="1100" b="1">
                  <a:solidFill>
                    <a:schemeClr val="tx1"/>
                  </a:solidFill>
                  <a:latin typeface="+mj-lt"/>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j-lt"/>
                <a:ea typeface="+mn-ea"/>
                <a:cs typeface="+mn-cs"/>
              </a:defRPr>
            </a:pPr>
            <a:endParaRPr lang="en-US"/>
          </a:p>
        </c:txPr>
        <c:crossAx val="1707435599"/>
        <c:crosses val="autoZero"/>
        <c:crossBetween val="between"/>
      </c:valAx>
      <c:spPr>
        <a:noFill/>
        <a:ln>
          <a:noFill/>
        </a:ln>
        <a:effectLst/>
      </c:spPr>
    </c:plotArea>
    <c:legend>
      <c:legendPos val="r"/>
      <c:overlay val="0"/>
      <c:spPr>
        <a:solidFill>
          <a:sysClr val="window" lastClr="FFFFFF"/>
        </a:solid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j-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outerShdw blurRad="50800" dist="38100" dir="2700000" algn="tl" rotWithShape="0">
        <a:prstClr val="black">
          <a:alpha val="40000"/>
        </a:prstClr>
      </a:outerShdw>
    </a:effectLst>
    <a:scene3d>
      <a:camera prst="orthographicFront"/>
      <a:lightRig rig="threePt" dir="t"/>
    </a:scene3d>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Project.xlsx]Manufecturing pivot table!PivotTable3</c:name>
    <c:fmtId val="7"/>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IN" sz="1200" b="1" i="1">
                <a:solidFill>
                  <a:sysClr val="windowText" lastClr="000000"/>
                </a:solidFill>
                <a:latin typeface="+mj-lt"/>
              </a:rPr>
              <a:t>Defect counts</a:t>
            </a:r>
            <a:r>
              <a:rPr lang="en-IN" sz="1200" b="1" i="1" baseline="0">
                <a:solidFill>
                  <a:sysClr val="windowText" lastClr="000000"/>
                </a:solidFill>
                <a:latin typeface="+mj-lt"/>
              </a:rPr>
              <a:t> by type accorss the products</a:t>
            </a:r>
            <a:endParaRPr lang="en-IN" sz="1200" b="1" i="1">
              <a:solidFill>
                <a:sysClr val="windowText" lastClr="000000"/>
              </a:solidFill>
              <a:latin typeface="+mj-l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'Manufecturing pivot table'!$H$3:$H$4</c:f>
              <c:strCache>
                <c:ptCount val="1"/>
                <c:pt idx="0">
                  <c:v>Assembly</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'Manufecturing pivot table'!$G$5:$G$9</c:f>
              <c:strCache>
                <c:ptCount val="4"/>
                <c:pt idx="0">
                  <c:v>Aluminum Sheets</c:v>
                </c:pt>
                <c:pt idx="1">
                  <c:v>Copper Pipes</c:v>
                </c:pt>
                <c:pt idx="2">
                  <c:v>Plastic Gears</c:v>
                </c:pt>
                <c:pt idx="3">
                  <c:v>Steel Bolts</c:v>
                </c:pt>
              </c:strCache>
            </c:strRef>
          </c:cat>
          <c:val>
            <c:numRef>
              <c:f>'Manufecturing pivot table'!$H$5:$H$9</c:f>
              <c:numCache>
                <c:formatCode>General</c:formatCode>
                <c:ptCount val="4"/>
                <c:pt idx="0">
                  <c:v>1149</c:v>
                </c:pt>
                <c:pt idx="1">
                  <c:v>1290</c:v>
                </c:pt>
                <c:pt idx="2">
                  <c:v>1160</c:v>
                </c:pt>
                <c:pt idx="3">
                  <c:v>1202</c:v>
                </c:pt>
              </c:numCache>
            </c:numRef>
          </c:val>
          <c:extLst>
            <c:ext xmlns:c16="http://schemas.microsoft.com/office/drawing/2014/chart" uri="{C3380CC4-5D6E-409C-BE32-E72D297353CC}">
              <c16:uniqueId val="{00000000-6705-406F-9E2C-1907EC75173E}"/>
            </c:ext>
          </c:extLst>
        </c:ser>
        <c:ser>
          <c:idx val="1"/>
          <c:order val="1"/>
          <c:tx>
            <c:strRef>
              <c:f>'Manufecturing pivot table'!$I$3:$I$4</c:f>
              <c:strCache>
                <c:ptCount val="1"/>
                <c:pt idx="0">
                  <c:v>Cutting</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'Manufecturing pivot table'!$G$5:$G$9</c:f>
              <c:strCache>
                <c:ptCount val="4"/>
                <c:pt idx="0">
                  <c:v>Aluminum Sheets</c:v>
                </c:pt>
                <c:pt idx="1">
                  <c:v>Copper Pipes</c:v>
                </c:pt>
                <c:pt idx="2">
                  <c:v>Plastic Gears</c:v>
                </c:pt>
                <c:pt idx="3">
                  <c:v>Steel Bolts</c:v>
                </c:pt>
              </c:strCache>
            </c:strRef>
          </c:cat>
          <c:val>
            <c:numRef>
              <c:f>'Manufecturing pivot table'!$I$5:$I$9</c:f>
              <c:numCache>
                <c:formatCode>General</c:formatCode>
                <c:ptCount val="4"/>
                <c:pt idx="0">
                  <c:v>1156</c:v>
                </c:pt>
                <c:pt idx="1">
                  <c:v>1785</c:v>
                </c:pt>
                <c:pt idx="2">
                  <c:v>1151</c:v>
                </c:pt>
                <c:pt idx="3">
                  <c:v>1664</c:v>
                </c:pt>
              </c:numCache>
            </c:numRef>
          </c:val>
          <c:extLst>
            <c:ext xmlns:c16="http://schemas.microsoft.com/office/drawing/2014/chart" uri="{C3380CC4-5D6E-409C-BE32-E72D297353CC}">
              <c16:uniqueId val="{00000001-6394-46C5-9DBD-182130AF5BEE}"/>
            </c:ext>
          </c:extLst>
        </c:ser>
        <c:ser>
          <c:idx val="2"/>
          <c:order val="2"/>
          <c:tx>
            <c:strRef>
              <c:f>'Manufecturing pivot table'!$J$3:$J$4</c:f>
              <c:strCache>
                <c:ptCount val="1"/>
                <c:pt idx="0">
                  <c:v>Painting</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'Manufecturing pivot table'!$G$5:$G$9</c:f>
              <c:strCache>
                <c:ptCount val="4"/>
                <c:pt idx="0">
                  <c:v>Aluminum Sheets</c:v>
                </c:pt>
                <c:pt idx="1">
                  <c:v>Copper Pipes</c:v>
                </c:pt>
                <c:pt idx="2">
                  <c:v>Plastic Gears</c:v>
                </c:pt>
                <c:pt idx="3">
                  <c:v>Steel Bolts</c:v>
                </c:pt>
              </c:strCache>
            </c:strRef>
          </c:cat>
          <c:val>
            <c:numRef>
              <c:f>'Manufecturing pivot table'!$J$5:$J$9</c:f>
              <c:numCache>
                <c:formatCode>General</c:formatCode>
                <c:ptCount val="4"/>
                <c:pt idx="0">
                  <c:v>1223</c:v>
                </c:pt>
                <c:pt idx="1">
                  <c:v>1569</c:v>
                </c:pt>
                <c:pt idx="2">
                  <c:v>1197</c:v>
                </c:pt>
                <c:pt idx="3">
                  <c:v>1018</c:v>
                </c:pt>
              </c:numCache>
            </c:numRef>
          </c:val>
          <c:extLst>
            <c:ext xmlns:c16="http://schemas.microsoft.com/office/drawing/2014/chart" uri="{C3380CC4-5D6E-409C-BE32-E72D297353CC}">
              <c16:uniqueId val="{00000002-6394-46C5-9DBD-182130AF5BEE}"/>
            </c:ext>
          </c:extLst>
        </c:ser>
        <c:ser>
          <c:idx val="3"/>
          <c:order val="3"/>
          <c:tx>
            <c:strRef>
              <c:f>'Manufecturing pivot table'!$K$3:$K$4</c:f>
              <c:strCache>
                <c:ptCount val="1"/>
                <c:pt idx="0">
                  <c:v>Welding</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'Manufecturing pivot table'!$G$5:$G$9</c:f>
              <c:strCache>
                <c:ptCount val="4"/>
                <c:pt idx="0">
                  <c:v>Aluminum Sheets</c:v>
                </c:pt>
                <c:pt idx="1">
                  <c:v>Copper Pipes</c:v>
                </c:pt>
                <c:pt idx="2">
                  <c:v>Plastic Gears</c:v>
                </c:pt>
                <c:pt idx="3">
                  <c:v>Steel Bolts</c:v>
                </c:pt>
              </c:strCache>
            </c:strRef>
          </c:cat>
          <c:val>
            <c:numRef>
              <c:f>'Manufecturing pivot table'!$K$5:$K$9</c:f>
              <c:numCache>
                <c:formatCode>General</c:formatCode>
                <c:ptCount val="4"/>
                <c:pt idx="0">
                  <c:v>1168</c:v>
                </c:pt>
                <c:pt idx="1">
                  <c:v>1213</c:v>
                </c:pt>
                <c:pt idx="2">
                  <c:v>1193</c:v>
                </c:pt>
                <c:pt idx="3">
                  <c:v>1317</c:v>
                </c:pt>
              </c:numCache>
            </c:numRef>
          </c:val>
          <c:extLst>
            <c:ext xmlns:c16="http://schemas.microsoft.com/office/drawing/2014/chart" uri="{C3380CC4-5D6E-409C-BE32-E72D297353CC}">
              <c16:uniqueId val="{00000003-6394-46C5-9DBD-182130AF5BEE}"/>
            </c:ext>
          </c:extLst>
        </c:ser>
        <c:dLbls>
          <c:dLblPos val="ctr"/>
          <c:showLegendKey val="0"/>
          <c:showVal val="1"/>
          <c:showCatName val="0"/>
          <c:showSerName val="0"/>
          <c:showPercent val="0"/>
          <c:showBubbleSize val="0"/>
        </c:dLbls>
        <c:gapWidth val="150"/>
        <c:overlap val="100"/>
        <c:axId val="1672548031"/>
        <c:axId val="1707437519"/>
      </c:barChart>
      <c:catAx>
        <c:axId val="167254803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900" b="1">
                    <a:solidFill>
                      <a:sysClr val="windowText" lastClr="000000"/>
                    </a:solidFill>
                    <a:latin typeface="+mj-lt"/>
                  </a:rPr>
                  <a:t>Product</a:t>
                </a:r>
                <a:r>
                  <a:rPr lang="en-IN" sz="900" b="1" baseline="0">
                    <a:solidFill>
                      <a:sysClr val="windowText" lastClr="000000"/>
                    </a:solidFill>
                    <a:latin typeface="+mj-lt"/>
                  </a:rPr>
                  <a:t> name</a:t>
                </a:r>
                <a:endParaRPr lang="en-IN" sz="900" b="1">
                  <a:solidFill>
                    <a:sysClr val="windowText" lastClr="000000"/>
                  </a:solidFill>
                  <a:latin typeface="+mj-lt"/>
                </a:endParaRP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j-lt"/>
                <a:ea typeface="+mn-ea"/>
                <a:cs typeface="+mn-cs"/>
              </a:defRPr>
            </a:pPr>
            <a:endParaRPr lang="en-US"/>
          </a:p>
        </c:txPr>
        <c:crossAx val="1707437519"/>
        <c:crosses val="autoZero"/>
        <c:auto val="1"/>
        <c:lblAlgn val="ctr"/>
        <c:lblOffset val="100"/>
        <c:noMultiLvlLbl val="0"/>
      </c:catAx>
      <c:valAx>
        <c:axId val="170743751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ysClr val="windowText" lastClr="000000"/>
                    </a:solidFill>
                    <a:latin typeface="+mj-lt"/>
                    <a:ea typeface="+mn-ea"/>
                    <a:cs typeface="+mn-cs"/>
                  </a:defRPr>
                </a:pPr>
                <a:r>
                  <a:rPr lang="en-IN" sz="900" b="1">
                    <a:solidFill>
                      <a:sysClr val="windowText" lastClr="000000"/>
                    </a:solidFill>
                    <a:latin typeface="+mj-lt"/>
                  </a:rPr>
                  <a:t>Total</a:t>
                </a:r>
                <a:r>
                  <a:rPr lang="en-IN" sz="900" b="1" baseline="0">
                    <a:solidFill>
                      <a:sysClr val="windowText" lastClr="000000"/>
                    </a:solidFill>
                    <a:latin typeface="+mj-lt"/>
                  </a:rPr>
                  <a:t> Defect count</a:t>
                </a:r>
                <a:endParaRPr lang="en-IN" sz="900" b="1">
                  <a:solidFill>
                    <a:sysClr val="windowText" lastClr="000000"/>
                  </a:solidFill>
                  <a:latin typeface="+mj-lt"/>
                </a:endParaRPr>
              </a:p>
            </c:rich>
          </c:tx>
          <c:overlay val="0"/>
          <c:spPr>
            <a:noFill/>
            <a:ln>
              <a:noFill/>
            </a:ln>
            <a:effectLst/>
          </c:spPr>
          <c:txPr>
            <a:bodyPr rot="-5400000" spcFirstLastPara="1" vertOverflow="ellipsis" vert="horz" wrap="square" anchor="ctr" anchorCtr="1"/>
            <a:lstStyle/>
            <a:p>
              <a:pPr>
                <a:defRPr sz="900" b="1" i="0" u="none" strike="noStrike" kern="1200" baseline="0">
                  <a:solidFill>
                    <a:sysClr val="windowText" lastClr="000000"/>
                  </a:solidFill>
                  <a:latin typeface="+mj-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j-lt"/>
                <a:ea typeface="+mn-ea"/>
                <a:cs typeface="+mn-cs"/>
              </a:defRPr>
            </a:pPr>
            <a:endParaRPr lang="en-US"/>
          </a:p>
        </c:txPr>
        <c:crossAx val="16725480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j-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Project.xlsx]Manufecturing pivot table!PivotTable1</c:name>
    <c:fmtId val="3"/>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sz="1200" b="1" i="1">
                <a:solidFill>
                  <a:sysClr val="windowText" lastClr="000000"/>
                </a:solidFill>
                <a:latin typeface="+mj-lt"/>
              </a:rPr>
              <a:t>Production Efficiency by Product and Shift</a:t>
            </a:r>
          </a:p>
        </c:rich>
      </c:tx>
      <c:layout>
        <c:manualLayout>
          <c:xMode val="edge"/>
          <c:yMode val="edge"/>
          <c:x val="0.16030555555555556"/>
          <c:y val="1.3888888888888888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'Manufecturing pivot table'!$B$3:$B$4</c:f>
              <c:strCache>
                <c:ptCount val="1"/>
                <c:pt idx="0">
                  <c:v>Shift 1</c:v>
                </c:pt>
              </c:strCache>
            </c:strRef>
          </c:tx>
          <c:spPr>
            <a:solidFill>
              <a:schemeClr val="accent1"/>
            </a:solidFill>
            <a:ln>
              <a:noFill/>
            </a:ln>
            <a:effectLst/>
          </c:spPr>
          <c:invertIfNegative val="0"/>
          <c:cat>
            <c:strRef>
              <c:f>'Manufecturing pivot table'!$A$5:$A$9</c:f>
              <c:strCache>
                <c:ptCount val="4"/>
                <c:pt idx="0">
                  <c:v>Aluminum Sheets</c:v>
                </c:pt>
                <c:pt idx="1">
                  <c:v>Copper Pipes</c:v>
                </c:pt>
                <c:pt idx="2">
                  <c:v>Plastic Gears</c:v>
                </c:pt>
                <c:pt idx="3">
                  <c:v>Steel Bolts</c:v>
                </c:pt>
              </c:strCache>
            </c:strRef>
          </c:cat>
          <c:val>
            <c:numRef>
              <c:f>'Manufecturing pivot table'!$B$5:$B$9</c:f>
              <c:numCache>
                <c:formatCode>General</c:formatCode>
                <c:ptCount val="4"/>
                <c:pt idx="0">
                  <c:v>78564</c:v>
                </c:pt>
                <c:pt idx="1">
                  <c:v>96463</c:v>
                </c:pt>
                <c:pt idx="2">
                  <c:v>90646</c:v>
                </c:pt>
                <c:pt idx="3">
                  <c:v>80115</c:v>
                </c:pt>
              </c:numCache>
            </c:numRef>
          </c:val>
          <c:extLst>
            <c:ext xmlns:c16="http://schemas.microsoft.com/office/drawing/2014/chart" uri="{C3380CC4-5D6E-409C-BE32-E72D297353CC}">
              <c16:uniqueId val="{00000000-80BD-4A20-B589-7FEA1E2B8811}"/>
            </c:ext>
          </c:extLst>
        </c:ser>
        <c:ser>
          <c:idx val="1"/>
          <c:order val="1"/>
          <c:tx>
            <c:strRef>
              <c:f>'Manufecturing pivot table'!$C$3:$C$4</c:f>
              <c:strCache>
                <c:ptCount val="1"/>
                <c:pt idx="0">
                  <c:v>Shift 2</c:v>
                </c:pt>
              </c:strCache>
            </c:strRef>
          </c:tx>
          <c:spPr>
            <a:solidFill>
              <a:schemeClr val="accent2"/>
            </a:solidFill>
            <a:ln>
              <a:noFill/>
            </a:ln>
            <a:effectLst/>
          </c:spPr>
          <c:invertIfNegative val="0"/>
          <c:cat>
            <c:strRef>
              <c:f>'Manufecturing pivot table'!$A$5:$A$9</c:f>
              <c:strCache>
                <c:ptCount val="4"/>
                <c:pt idx="0">
                  <c:v>Aluminum Sheets</c:v>
                </c:pt>
                <c:pt idx="1">
                  <c:v>Copper Pipes</c:v>
                </c:pt>
                <c:pt idx="2">
                  <c:v>Plastic Gears</c:v>
                </c:pt>
                <c:pt idx="3">
                  <c:v>Steel Bolts</c:v>
                </c:pt>
              </c:strCache>
            </c:strRef>
          </c:cat>
          <c:val>
            <c:numRef>
              <c:f>'Manufecturing pivot table'!$C$5:$C$9</c:f>
              <c:numCache>
                <c:formatCode>General</c:formatCode>
                <c:ptCount val="4"/>
                <c:pt idx="0">
                  <c:v>80534</c:v>
                </c:pt>
                <c:pt idx="1">
                  <c:v>96645</c:v>
                </c:pt>
                <c:pt idx="2">
                  <c:v>86507</c:v>
                </c:pt>
                <c:pt idx="3">
                  <c:v>81993</c:v>
                </c:pt>
              </c:numCache>
            </c:numRef>
          </c:val>
          <c:extLst>
            <c:ext xmlns:c16="http://schemas.microsoft.com/office/drawing/2014/chart" uri="{C3380CC4-5D6E-409C-BE32-E72D297353CC}">
              <c16:uniqueId val="{00000005-03B5-4241-A831-E61504F52FC0}"/>
            </c:ext>
          </c:extLst>
        </c:ser>
        <c:ser>
          <c:idx val="2"/>
          <c:order val="2"/>
          <c:tx>
            <c:strRef>
              <c:f>'Manufecturing pivot table'!$D$3:$D$4</c:f>
              <c:strCache>
                <c:ptCount val="1"/>
                <c:pt idx="0">
                  <c:v>Shift 3</c:v>
                </c:pt>
              </c:strCache>
            </c:strRef>
          </c:tx>
          <c:spPr>
            <a:solidFill>
              <a:schemeClr val="accent3"/>
            </a:solidFill>
            <a:ln>
              <a:noFill/>
            </a:ln>
            <a:effectLst/>
          </c:spPr>
          <c:invertIfNegative val="0"/>
          <c:cat>
            <c:strRef>
              <c:f>'Manufecturing pivot table'!$A$5:$A$9</c:f>
              <c:strCache>
                <c:ptCount val="4"/>
                <c:pt idx="0">
                  <c:v>Aluminum Sheets</c:v>
                </c:pt>
                <c:pt idx="1">
                  <c:v>Copper Pipes</c:v>
                </c:pt>
                <c:pt idx="2">
                  <c:v>Plastic Gears</c:v>
                </c:pt>
                <c:pt idx="3">
                  <c:v>Steel Bolts</c:v>
                </c:pt>
              </c:strCache>
            </c:strRef>
          </c:cat>
          <c:val>
            <c:numRef>
              <c:f>'Manufecturing pivot table'!$D$5:$D$9</c:f>
              <c:numCache>
                <c:formatCode>General</c:formatCode>
                <c:ptCount val="4"/>
                <c:pt idx="0">
                  <c:v>75062</c:v>
                </c:pt>
                <c:pt idx="1">
                  <c:v>88809</c:v>
                </c:pt>
                <c:pt idx="2">
                  <c:v>66733</c:v>
                </c:pt>
                <c:pt idx="3">
                  <c:v>90846</c:v>
                </c:pt>
              </c:numCache>
            </c:numRef>
          </c:val>
          <c:extLst>
            <c:ext xmlns:c16="http://schemas.microsoft.com/office/drawing/2014/chart" uri="{C3380CC4-5D6E-409C-BE32-E72D297353CC}">
              <c16:uniqueId val="{00000006-03B5-4241-A831-E61504F52FC0}"/>
            </c:ext>
          </c:extLst>
        </c:ser>
        <c:dLbls>
          <c:showLegendKey val="0"/>
          <c:showVal val="0"/>
          <c:showCatName val="0"/>
          <c:showSerName val="0"/>
          <c:showPercent val="0"/>
          <c:showBubbleSize val="0"/>
        </c:dLbls>
        <c:gapWidth val="182"/>
        <c:axId val="490060383"/>
        <c:axId val="490065183"/>
      </c:barChart>
      <c:catAx>
        <c:axId val="490060383"/>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900" b="1">
                    <a:solidFill>
                      <a:sysClr val="windowText" lastClr="000000"/>
                    </a:solidFill>
                    <a:latin typeface="+mj-lt"/>
                  </a:rPr>
                  <a:t>Product name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ysClr val="windowText" lastClr="000000"/>
                </a:solidFill>
                <a:latin typeface="+mj-lt"/>
                <a:ea typeface="+mn-ea"/>
                <a:cs typeface="+mn-cs"/>
              </a:defRPr>
            </a:pPr>
            <a:endParaRPr lang="en-US"/>
          </a:p>
        </c:txPr>
        <c:crossAx val="490065183"/>
        <c:crosses val="autoZero"/>
        <c:auto val="1"/>
        <c:lblAlgn val="ctr"/>
        <c:lblOffset val="100"/>
        <c:noMultiLvlLbl val="0"/>
      </c:catAx>
      <c:valAx>
        <c:axId val="490065183"/>
        <c:scaling>
          <c:orientation val="minMax"/>
        </c:scaling>
        <c:delete val="0"/>
        <c:axPos val="b"/>
        <c:title>
          <c:tx>
            <c:rich>
              <a:bodyPr rot="0" spcFirstLastPara="1" vertOverflow="ellipsis" vert="horz" wrap="square" anchor="ctr" anchorCtr="1"/>
              <a:lstStyle/>
              <a:p>
                <a:pPr>
                  <a:defRPr sz="900" b="1" i="0" u="none" strike="noStrike" kern="1200" baseline="0">
                    <a:solidFill>
                      <a:sysClr val="windowText" lastClr="000000"/>
                    </a:solidFill>
                    <a:latin typeface="+mj-lt"/>
                    <a:ea typeface="+mn-ea"/>
                    <a:cs typeface="+mn-cs"/>
                  </a:defRPr>
                </a:pPr>
                <a:r>
                  <a:rPr lang="en-IN" sz="900" b="1">
                    <a:solidFill>
                      <a:sysClr val="windowText" lastClr="000000"/>
                    </a:solidFill>
                    <a:latin typeface="+mj-lt"/>
                  </a:rPr>
                  <a:t>Total</a:t>
                </a:r>
                <a:r>
                  <a:rPr lang="en-IN" sz="900" b="1" baseline="0">
                    <a:solidFill>
                      <a:sysClr val="windowText" lastClr="000000"/>
                    </a:solidFill>
                    <a:latin typeface="+mj-lt"/>
                  </a:rPr>
                  <a:t> Qty Produced</a:t>
                </a:r>
              </a:p>
            </c:rich>
          </c:tx>
          <c:layout>
            <c:manualLayout>
              <c:xMode val="edge"/>
              <c:yMode val="edge"/>
              <c:x val="0.33319816272965874"/>
              <c:y val="0.88793963254593178"/>
            </c:manualLayout>
          </c:layout>
          <c:overlay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j-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j-lt"/>
                <a:ea typeface="+mn-ea"/>
                <a:cs typeface="+mn-cs"/>
              </a:defRPr>
            </a:pPr>
            <a:endParaRPr lang="en-US"/>
          </a:p>
        </c:txPr>
        <c:crossAx val="4900603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j-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Project.xlsx]Manufecturing pivot table!PivotTable2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i="1">
                <a:solidFill>
                  <a:sysClr val="windowText" lastClr="000000"/>
                </a:solidFill>
                <a:latin typeface="+mj-lt"/>
              </a:rPr>
              <a:t>Total</a:t>
            </a:r>
            <a:r>
              <a:rPr lang="en-US" sz="1200" b="1" i="1" baseline="0">
                <a:solidFill>
                  <a:sysClr val="windowText" lastClr="000000"/>
                </a:solidFill>
                <a:latin typeface="+mj-lt"/>
              </a:rPr>
              <a:t> production by product</a:t>
            </a:r>
            <a:endParaRPr lang="en-US" sz="1200" b="1" i="1">
              <a:solidFill>
                <a:sysClr val="windowText" lastClr="000000"/>
              </a:solidFill>
              <a:latin typeface="+mj-l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8148293676013363E-2"/>
          <c:y val="0.220029211330767"/>
          <c:w val="0.52364108899182915"/>
          <c:h val="0.72812849036511429"/>
        </c:manualLayout>
      </c:layout>
      <c:pie3DChart>
        <c:varyColors val="1"/>
        <c:ser>
          <c:idx val="0"/>
          <c:order val="0"/>
          <c:tx>
            <c:strRef>
              <c:f>'Manufecturing pivot table'!$B$12</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FD71-4C51-99B2-632F97CA1CB6}"/>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FD71-4C51-99B2-632F97CA1CB6}"/>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FD71-4C51-99B2-632F97CA1CB6}"/>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FD71-4C51-99B2-632F97CA1CB6}"/>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'Manufecturing pivot table'!$A$13:$A$17</c:f>
              <c:strCache>
                <c:ptCount val="4"/>
                <c:pt idx="0">
                  <c:v>Aluminum Sheets</c:v>
                </c:pt>
                <c:pt idx="1">
                  <c:v>Copper Pipes</c:v>
                </c:pt>
                <c:pt idx="2">
                  <c:v>Plastic Gears</c:v>
                </c:pt>
                <c:pt idx="3">
                  <c:v>Steel Bolts</c:v>
                </c:pt>
              </c:strCache>
            </c:strRef>
          </c:cat>
          <c:val>
            <c:numRef>
              <c:f>'Manufecturing pivot table'!$B$13:$B$17</c:f>
              <c:numCache>
                <c:formatCode>0.00%</c:formatCode>
                <c:ptCount val="4"/>
                <c:pt idx="0">
                  <c:v>0.23375000000000001</c:v>
                </c:pt>
                <c:pt idx="1">
                  <c:v>0.28375</c:v>
                </c:pt>
                <c:pt idx="2">
                  <c:v>0.23375000000000001</c:v>
                </c:pt>
                <c:pt idx="3">
                  <c:v>0.24875</c:v>
                </c:pt>
              </c:numCache>
            </c:numRef>
          </c:val>
          <c:extLst>
            <c:ext xmlns:c16="http://schemas.microsoft.com/office/drawing/2014/chart" uri="{C3380CC4-5D6E-409C-BE32-E72D297353CC}">
              <c16:uniqueId val="{00000008-FD71-4C51-99B2-632F97CA1CB6}"/>
            </c:ext>
          </c:extLst>
        </c:ser>
        <c:dLbls>
          <c:dLblPos val="bestFit"/>
          <c:showLegendKey val="0"/>
          <c:showVal val="1"/>
          <c:showCatName val="0"/>
          <c:showSerName val="0"/>
          <c:showPercent val="0"/>
          <c:showBubbleSize val="0"/>
          <c:showLeaderLines val="1"/>
        </c:dLbls>
      </c:pie3DChart>
      <c:spPr>
        <a:noFill/>
        <a:ln>
          <a:noFill/>
        </a:ln>
        <a:effectLst/>
      </c:spPr>
    </c:plotArea>
    <c:legend>
      <c:legendPos val="r"/>
      <c:layout>
        <c:manualLayout>
          <c:xMode val="edge"/>
          <c:yMode val="edge"/>
          <c:x val="0.65320125025645581"/>
          <c:y val="0.29592391391633971"/>
          <c:w val="0.24586619750614558"/>
          <c:h val="0.56155672675372503"/>
        </c:manualLayout>
      </c:layout>
      <c:overlay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j-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[Excel Project.xlsx]Manufecturing pivot table!PivotTable12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i="1">
                <a:solidFill>
                  <a:sysClr val="windowText" lastClr="000000"/>
                </a:solidFill>
                <a:latin typeface="+mj-lt"/>
              </a:rPr>
              <a:t>Total</a:t>
            </a:r>
            <a:r>
              <a:rPr lang="en-US" sz="1200" b="1" i="1" baseline="0">
                <a:solidFill>
                  <a:sysClr val="windowText" lastClr="000000"/>
                </a:solidFill>
                <a:latin typeface="+mj-lt"/>
              </a:rPr>
              <a:t> production by month</a:t>
            </a:r>
            <a:endParaRPr lang="en-US" sz="1200" b="1" i="1">
              <a:solidFill>
                <a:sysClr val="windowText" lastClr="000000"/>
              </a:solidFill>
              <a:latin typeface="+mj-l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a:noFill/>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3"/>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3"/>
          </a:solidFill>
          <a:ln>
            <a:noFill/>
          </a:ln>
          <a:effectLst/>
        </c:spPr>
        <c:marker>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'Manufecturing pivot table'!$E$21</c:f>
              <c:strCache>
                <c:ptCount val="1"/>
                <c:pt idx="0">
                  <c:v>Total</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'Manufecturing pivot table'!$D$22:$D$34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'Manufecturing pivot table'!$E$22:$E$34</c:f>
              <c:numCache>
                <c:formatCode>General</c:formatCode>
                <c:ptCount val="12"/>
                <c:pt idx="0">
                  <c:v>82146</c:v>
                </c:pt>
                <c:pt idx="1">
                  <c:v>85927</c:v>
                </c:pt>
                <c:pt idx="2">
                  <c:v>103902</c:v>
                </c:pt>
                <c:pt idx="3">
                  <c:v>64843</c:v>
                </c:pt>
                <c:pt idx="4">
                  <c:v>70422</c:v>
                </c:pt>
                <c:pt idx="5">
                  <c:v>74349</c:v>
                </c:pt>
                <c:pt idx="6">
                  <c:v>83364</c:v>
                </c:pt>
                <c:pt idx="7">
                  <c:v>97593</c:v>
                </c:pt>
                <c:pt idx="8">
                  <c:v>84829</c:v>
                </c:pt>
                <c:pt idx="9">
                  <c:v>84464</c:v>
                </c:pt>
                <c:pt idx="10">
                  <c:v>85303</c:v>
                </c:pt>
                <c:pt idx="11">
                  <c:v>95775</c:v>
                </c:pt>
              </c:numCache>
            </c:numRef>
          </c:val>
          <c:smooth val="0"/>
          <c:extLst>
            <c:ext xmlns:c16="http://schemas.microsoft.com/office/drawing/2014/chart" uri="{C3380CC4-5D6E-409C-BE32-E72D297353CC}">
              <c16:uniqueId val="{00000000-3D32-4739-AD61-29DF0EDF8FDC}"/>
            </c:ext>
          </c:extLst>
        </c:ser>
        <c:dLbls>
          <c:showLegendKey val="0"/>
          <c:showVal val="0"/>
          <c:showCatName val="0"/>
          <c:showSerName val="0"/>
          <c:showPercent val="0"/>
          <c:showBubbleSize val="0"/>
        </c:dLbls>
        <c:marker val="1"/>
        <c:smooth val="0"/>
        <c:axId val="91950911"/>
        <c:axId val="91960511"/>
      </c:lineChart>
      <c:catAx>
        <c:axId val="9195091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900" b="1">
                    <a:solidFill>
                      <a:sysClr val="windowText" lastClr="000000"/>
                    </a:solidFill>
                    <a:latin typeface="+mj-lt"/>
                  </a:rPr>
                  <a:t>Months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j-lt"/>
                <a:ea typeface="+mn-ea"/>
                <a:cs typeface="+mn-cs"/>
              </a:defRPr>
            </a:pPr>
            <a:endParaRPr lang="en-US"/>
          </a:p>
        </c:txPr>
        <c:crossAx val="91960511"/>
        <c:crosses val="autoZero"/>
        <c:auto val="1"/>
        <c:lblAlgn val="ctr"/>
        <c:lblOffset val="100"/>
        <c:noMultiLvlLbl val="0"/>
      </c:catAx>
      <c:valAx>
        <c:axId val="9196051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solidFill>
                      <a:sysClr val="windowText" lastClr="000000"/>
                    </a:solidFill>
                    <a:latin typeface="+mj-lt"/>
                  </a:rPr>
                  <a:t>Total</a:t>
                </a:r>
                <a:r>
                  <a:rPr lang="en-IN" b="1" baseline="0">
                    <a:solidFill>
                      <a:sysClr val="windowText" lastClr="000000"/>
                    </a:solidFill>
                    <a:latin typeface="+mj-lt"/>
                  </a:rPr>
                  <a:t> Qty</a:t>
                </a:r>
                <a:endParaRPr lang="en-IN" b="1">
                  <a:solidFill>
                    <a:sysClr val="windowText" lastClr="000000"/>
                  </a:solidFill>
                  <a:latin typeface="+mj-lt"/>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1" i="0" u="none" strike="noStrike" kern="1200" baseline="0">
                <a:solidFill>
                  <a:sysClr val="windowText" lastClr="000000"/>
                </a:solidFill>
                <a:latin typeface="+mj-lt"/>
                <a:ea typeface="+mn-ea"/>
                <a:cs typeface="+mn-cs"/>
              </a:defRPr>
            </a:pPr>
            <a:endParaRPr lang="en-US"/>
          </a:p>
        </c:txPr>
        <c:crossAx val="919509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Project.xlsx]Manufecturing pivot table!PivotTable4</c:name>
    <c:fmtId val="7"/>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200" b="1" i="1" u="none" strike="noStrike" kern="1200" spc="0" baseline="0">
                <a:solidFill>
                  <a:sysClr val="windowText" lastClr="000000"/>
                </a:solidFill>
                <a:latin typeface="+mj-lt"/>
              </a:rPr>
              <a:t>Total Productioin By Machine</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j-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j-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j-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'Manufecturing pivot table'!$B$20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06A-4E9F-A8F2-3397EDF01C4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06A-4E9F-A8F2-3397EDF01C4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06A-4E9F-A8F2-3397EDF01C4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06A-4E9F-A8F2-3397EDF01C48}"/>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j-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'Manufecturing pivot table'!$A$21:$A$25</c:f>
              <c:strCache>
                <c:ptCount val="4"/>
                <c:pt idx="0">
                  <c:v>Cutter</c:v>
                </c:pt>
                <c:pt idx="1">
                  <c:v>Drill</c:v>
                </c:pt>
                <c:pt idx="2">
                  <c:v>Lathe</c:v>
                </c:pt>
                <c:pt idx="3">
                  <c:v>Press</c:v>
                </c:pt>
              </c:strCache>
            </c:strRef>
          </c:cat>
          <c:val>
            <c:numRef>
              <c:f>'Manufecturing pivot table'!$B$21:$B$25</c:f>
              <c:numCache>
                <c:formatCode>General</c:formatCode>
                <c:ptCount val="4"/>
                <c:pt idx="0">
                  <c:v>261846</c:v>
                </c:pt>
                <c:pt idx="1">
                  <c:v>256160</c:v>
                </c:pt>
                <c:pt idx="2">
                  <c:v>266512</c:v>
                </c:pt>
                <c:pt idx="3">
                  <c:v>228399</c:v>
                </c:pt>
              </c:numCache>
            </c:numRef>
          </c:val>
          <c:extLst>
            <c:ext xmlns:c16="http://schemas.microsoft.com/office/drawing/2014/chart" uri="{C3380CC4-5D6E-409C-BE32-E72D297353CC}">
              <c16:uniqueId val="{00000008-806A-4E9F-A8F2-3397EDF01C48}"/>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j-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6">
  <a:schemeClr val="accent3"/>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7</xdr:col>
      <xdr:colOff>553057</xdr:colOff>
      <xdr:row>0</xdr:row>
      <xdr:rowOff>272664</xdr:rowOff>
    </xdr:from>
    <xdr:to>
      <xdr:col>26</xdr:col>
      <xdr:colOff>238048</xdr:colOff>
      <xdr:row>8</xdr:row>
      <xdr:rowOff>126796</xdr:rowOff>
    </xdr:to>
    <xdr:sp macro="" textlink="">
      <xdr:nvSpPr>
        <xdr:cNvPr id="2" name="TextBox 1">
          <a:extLst>
            <a:ext uri="{FF2B5EF4-FFF2-40B4-BE49-F238E27FC236}">
              <a16:creationId xmlns:a16="http://schemas.microsoft.com/office/drawing/2014/main" id="{073A5C13-34C4-67BD-B3A8-1AF304CC18C5}"/>
            </a:ext>
          </a:extLst>
        </xdr:cNvPr>
        <xdr:cNvSpPr txBox="1"/>
      </xdr:nvSpPr>
      <xdr:spPr>
        <a:xfrm>
          <a:off x="4804796" y="272664"/>
          <a:ext cx="11225426" cy="2239523"/>
        </a:xfrm>
        <a:prstGeom prst="rect">
          <a:avLst/>
        </a:prstGeom>
        <a:solidFill>
          <a:schemeClr val="tx1"/>
        </a:solidFill>
        <a:ln w="38100" cmpd="sng">
          <a:solidFill>
            <a:schemeClr val="accent2"/>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i="1">
              <a:solidFill>
                <a:schemeClr val="bg1"/>
              </a:solidFill>
              <a:effectLst/>
              <a:latin typeface="+mj-lt"/>
              <a:ea typeface="+mn-ea"/>
              <a:cs typeface="+mn-cs"/>
            </a:rPr>
            <a:t>                                                         **Dashboard Objective**</a:t>
          </a:r>
        </a:p>
        <a:p>
          <a:endParaRPr lang="en-IN" sz="2000" b="1">
            <a:solidFill>
              <a:schemeClr val="bg1"/>
            </a:solidFill>
            <a:effectLst/>
            <a:latin typeface="+mj-lt"/>
            <a:ea typeface="+mn-ea"/>
            <a:cs typeface="+mn-cs"/>
          </a:endParaRPr>
        </a:p>
        <a:p>
          <a:r>
            <a:rPr lang="en-IN" sz="2000" b="1">
              <a:solidFill>
                <a:schemeClr val="bg1"/>
              </a:solidFill>
              <a:effectLst/>
              <a:latin typeface="+mj-lt"/>
              <a:ea typeface="+mn-ea"/>
              <a:cs typeface="+mn-cs"/>
            </a:rPr>
            <a:t>This dashboard analyzes key manufacturing metrics across products, machines, shifts, and suppliers to identify performance trends, defect patterns, and operational bottlenecks. It enables stakeholders to make data-driven decisions for improving production efficiency, reducing defects, and optimizing supplier performance.</a:t>
          </a:r>
        </a:p>
        <a:p>
          <a:endParaRPr lang="en-IN" sz="1100"/>
        </a:p>
      </xdr:txBody>
    </xdr:sp>
    <xdr:clientData/>
  </xdr:twoCellAnchor>
  <xdr:twoCellAnchor>
    <xdr:from>
      <xdr:col>7</xdr:col>
      <xdr:colOff>533975</xdr:colOff>
      <xdr:row>8</xdr:row>
      <xdr:rowOff>146240</xdr:rowOff>
    </xdr:from>
    <xdr:to>
      <xdr:col>26</xdr:col>
      <xdr:colOff>249092</xdr:colOff>
      <xdr:row>55</xdr:row>
      <xdr:rowOff>176696</xdr:rowOff>
    </xdr:to>
    <xdr:sp macro="" textlink="">
      <xdr:nvSpPr>
        <xdr:cNvPr id="3" name="TextBox 2">
          <a:extLst>
            <a:ext uri="{FF2B5EF4-FFF2-40B4-BE49-F238E27FC236}">
              <a16:creationId xmlns:a16="http://schemas.microsoft.com/office/drawing/2014/main" id="{D50F9778-7C48-4102-81C3-46DE75F0EF3A}"/>
            </a:ext>
          </a:extLst>
        </xdr:cNvPr>
        <xdr:cNvSpPr txBox="1"/>
      </xdr:nvSpPr>
      <xdr:spPr>
        <a:xfrm>
          <a:off x="4785714" y="2531631"/>
          <a:ext cx="11255552" cy="14044630"/>
        </a:xfrm>
        <a:prstGeom prst="rect">
          <a:avLst/>
        </a:prstGeom>
        <a:solidFill>
          <a:schemeClr val="tx1"/>
        </a:solidFill>
        <a:ln w="38100" cmpd="sng">
          <a:solidFill>
            <a:schemeClr val="accent2"/>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i="0">
              <a:solidFill>
                <a:schemeClr val="bg1"/>
              </a:solidFill>
              <a:effectLst/>
              <a:latin typeface="+mj-lt"/>
              <a:ea typeface="+mn-ea"/>
              <a:cs typeface="+mn-cs"/>
            </a:rPr>
            <a:t>                                                    </a:t>
          </a:r>
        </a:p>
        <a:p>
          <a:r>
            <a:rPr lang="en-IN" sz="2400" b="1" i="0">
              <a:solidFill>
                <a:schemeClr val="bg1"/>
              </a:solidFill>
              <a:effectLst/>
              <a:latin typeface="+mj-lt"/>
              <a:ea typeface="+mn-ea"/>
              <a:cs typeface="+mn-cs"/>
            </a:rPr>
            <a:t>				**Charts</a:t>
          </a:r>
          <a:r>
            <a:rPr lang="en-IN" sz="2400" b="1" i="0" baseline="0">
              <a:solidFill>
                <a:schemeClr val="bg1"/>
              </a:solidFill>
              <a:effectLst/>
              <a:latin typeface="+mj-lt"/>
              <a:ea typeface="+mn-ea"/>
              <a:cs typeface="+mn-cs"/>
            </a:rPr>
            <a:t> </a:t>
          </a:r>
          <a:r>
            <a:rPr lang="en-IN" sz="2400" b="1" i="0">
              <a:solidFill>
                <a:schemeClr val="bg1"/>
              </a:solidFill>
              <a:effectLst/>
              <a:latin typeface="+mj-lt"/>
              <a:ea typeface="+mn-ea"/>
              <a:cs typeface="+mn-cs"/>
            </a:rPr>
            <a:t>Problem Statement**</a:t>
          </a:r>
        </a:p>
        <a:p>
          <a:endParaRPr lang="en-IN" sz="2000" b="1">
            <a:solidFill>
              <a:schemeClr val="bg1"/>
            </a:solidFill>
            <a:effectLst/>
            <a:latin typeface="+mj-lt"/>
            <a:ea typeface="+mn-ea"/>
            <a:cs typeface="+mn-cs"/>
          </a:endParaRPr>
        </a:p>
        <a:p>
          <a:r>
            <a:rPr lang="en-IN" sz="2000" b="1">
              <a:solidFill>
                <a:schemeClr val="bg1"/>
              </a:solidFill>
              <a:effectLst/>
              <a:latin typeface="+mj-lt"/>
              <a:ea typeface="+mn-ea"/>
              <a:cs typeface="+mn-cs"/>
            </a:rPr>
            <a:t>1. Total Production by Product?</a:t>
          </a:r>
        </a:p>
        <a:p>
          <a:r>
            <a:rPr lang="en-IN" sz="2000" b="1">
              <a:solidFill>
                <a:schemeClr val="bg1"/>
              </a:solidFill>
              <a:effectLst/>
              <a:latin typeface="+mj-lt"/>
              <a:ea typeface="+mn-ea"/>
              <a:cs typeface="+mn-cs"/>
            </a:rPr>
            <a:t>   - Objective: Visualize product-wise production share to assess demand and output balance.</a:t>
          </a:r>
        </a:p>
        <a:p>
          <a:r>
            <a:rPr lang="en-IN" sz="2000" b="1">
              <a:solidFill>
                <a:schemeClr val="bg1"/>
              </a:solidFill>
              <a:effectLst/>
              <a:latin typeface="+mj-lt"/>
              <a:ea typeface="+mn-ea"/>
              <a:cs typeface="+mn-cs"/>
            </a:rPr>
            <a:t>   - Insight: Supports inventory planning and product prioritization.</a:t>
          </a:r>
        </a:p>
        <a:p>
          <a:r>
            <a:rPr lang="en-IN" sz="2000" b="1">
              <a:solidFill>
                <a:schemeClr val="bg1"/>
              </a:solidFill>
              <a:effectLst/>
              <a:latin typeface="+mj-lt"/>
              <a:ea typeface="+mn-ea"/>
              <a:cs typeface="+mn-cs"/>
            </a:rPr>
            <a:t> </a:t>
          </a:r>
        </a:p>
        <a:p>
          <a:r>
            <a:rPr lang="en-IN" sz="2000" b="1">
              <a:solidFill>
                <a:schemeClr val="bg1"/>
              </a:solidFill>
              <a:effectLst/>
              <a:latin typeface="+mj-lt"/>
              <a:ea typeface="+mn-ea"/>
              <a:cs typeface="+mn-cs"/>
            </a:rPr>
            <a:t>2. Total Production by Machine?</a:t>
          </a:r>
        </a:p>
        <a:p>
          <a:r>
            <a:rPr lang="en-IN" sz="2000" b="1">
              <a:solidFill>
                <a:schemeClr val="bg1"/>
              </a:solidFill>
              <a:effectLst/>
              <a:latin typeface="+mj-lt"/>
              <a:ea typeface="+mn-ea"/>
              <a:cs typeface="+mn-cs"/>
            </a:rPr>
            <a:t>   - Objective: Analyze machine utilization and output contribution.</a:t>
          </a:r>
        </a:p>
        <a:p>
          <a:r>
            <a:rPr lang="en-IN" sz="2000" b="1">
              <a:solidFill>
                <a:schemeClr val="bg1"/>
              </a:solidFill>
              <a:effectLst/>
              <a:latin typeface="+mj-lt"/>
              <a:ea typeface="+mn-ea"/>
              <a:cs typeface="+mn-cs"/>
            </a:rPr>
            <a:t>   - Insight: Aids in capacity planning and maintenance scheduling.</a:t>
          </a:r>
        </a:p>
        <a:p>
          <a:endParaRPr lang="en-IN" sz="2000" b="1">
            <a:solidFill>
              <a:schemeClr val="bg1"/>
            </a:solidFill>
            <a:effectLst/>
            <a:latin typeface="+mj-lt"/>
            <a:ea typeface="+mn-ea"/>
            <a:cs typeface="+mn-cs"/>
          </a:endParaRPr>
        </a:p>
        <a:p>
          <a:r>
            <a:rPr lang="en-IN" sz="2000" b="1">
              <a:solidFill>
                <a:schemeClr val="bg1"/>
              </a:solidFill>
              <a:effectLst/>
              <a:latin typeface="+mj-lt"/>
              <a:ea typeface="+mn-ea"/>
              <a:cs typeface="+mn-cs"/>
            </a:rPr>
            <a:t>3. Total Production by Month?</a:t>
          </a:r>
        </a:p>
        <a:p>
          <a:r>
            <a:rPr lang="en-IN" sz="2000" b="1">
              <a:solidFill>
                <a:schemeClr val="bg1"/>
              </a:solidFill>
              <a:effectLst/>
              <a:latin typeface="+mj-lt"/>
              <a:ea typeface="+mn-ea"/>
              <a:cs typeface="+mn-cs"/>
            </a:rPr>
            <a:t>   - Objective: Monitor monthly production trends to identify seasonality or disruptions.</a:t>
          </a:r>
        </a:p>
        <a:p>
          <a:r>
            <a:rPr lang="en-IN" sz="2000" b="1">
              <a:solidFill>
                <a:schemeClr val="bg1"/>
              </a:solidFill>
              <a:effectLst/>
              <a:latin typeface="+mj-lt"/>
              <a:ea typeface="+mn-ea"/>
              <a:cs typeface="+mn-cs"/>
            </a:rPr>
            <a:t>   - Insight: Useful for forecasting and performance benchmarking.</a:t>
          </a:r>
        </a:p>
        <a:p>
          <a:endParaRPr lang="en-IN" sz="2000" b="1">
            <a:solidFill>
              <a:schemeClr val="bg1"/>
            </a:solidFill>
            <a:effectLst/>
            <a:latin typeface="+mj-lt"/>
            <a:ea typeface="+mn-ea"/>
            <a:cs typeface="+mn-cs"/>
          </a:endParaRPr>
        </a:p>
        <a:p>
          <a:r>
            <a:rPr lang="en-IN" sz="2000" b="1">
              <a:solidFill>
                <a:schemeClr val="bg1"/>
              </a:solidFill>
              <a:effectLst/>
              <a:latin typeface="+mj-lt"/>
              <a:ea typeface="+mn-ea"/>
              <a:cs typeface="+mn-cs"/>
            </a:rPr>
            <a:t>4. Production Efficiency by Product and Shift?</a:t>
          </a:r>
        </a:p>
        <a:p>
          <a:r>
            <a:rPr lang="en-IN" sz="2000" b="1">
              <a:solidFill>
                <a:schemeClr val="bg1"/>
              </a:solidFill>
              <a:effectLst/>
              <a:latin typeface="+mj-lt"/>
              <a:ea typeface="+mn-ea"/>
              <a:cs typeface="+mn-cs"/>
            </a:rPr>
            <a:t>   - Objective: Compare production output across shifts for each product.</a:t>
          </a:r>
        </a:p>
        <a:p>
          <a:r>
            <a:rPr lang="en-IN" sz="2000" b="1">
              <a:solidFill>
                <a:schemeClr val="bg1"/>
              </a:solidFill>
              <a:effectLst/>
              <a:latin typeface="+mj-lt"/>
              <a:ea typeface="+mn-ea"/>
              <a:cs typeface="+mn-cs"/>
            </a:rPr>
            <a:t>   - Insight: Reveals shift-wise performance and potential staffing or process gaps.</a:t>
          </a:r>
        </a:p>
        <a:p>
          <a:endParaRPr lang="en-IN" sz="2000" b="1">
            <a:solidFill>
              <a:schemeClr val="bg1"/>
            </a:solidFill>
            <a:effectLst/>
            <a:latin typeface="+mj-lt"/>
            <a:ea typeface="+mn-ea"/>
            <a:cs typeface="+mn-cs"/>
          </a:endParaRPr>
        </a:p>
        <a:p>
          <a:r>
            <a:rPr lang="en-IN" sz="2000" b="1">
              <a:solidFill>
                <a:schemeClr val="bg1"/>
              </a:solidFill>
              <a:effectLst/>
              <a:latin typeface="+mj-lt"/>
              <a:ea typeface="+mn-ea"/>
              <a:cs typeface="+mn-cs"/>
            </a:rPr>
            <a:t>5. Defect Count by Machine for Each Product:?</a:t>
          </a:r>
        </a:p>
        <a:p>
          <a:r>
            <a:rPr lang="en-IN" sz="2000" b="1">
              <a:solidFill>
                <a:schemeClr val="bg1"/>
              </a:solidFill>
              <a:effectLst/>
              <a:latin typeface="+mj-lt"/>
              <a:ea typeface="+mn-ea"/>
              <a:cs typeface="+mn-cs"/>
            </a:rPr>
            <a:t>   - Objective: Identify which machines contribute most to defects across different products.</a:t>
          </a:r>
        </a:p>
        <a:p>
          <a:r>
            <a:rPr lang="en-IN" sz="2000" b="1">
              <a:solidFill>
                <a:schemeClr val="bg1"/>
              </a:solidFill>
              <a:effectLst/>
              <a:latin typeface="+mj-lt"/>
              <a:ea typeface="+mn-ea"/>
              <a:cs typeface="+mn-cs"/>
            </a:rPr>
            <a:t>   - Insight: Helps isolate machine-specific quality issues.</a:t>
          </a:r>
        </a:p>
        <a:p>
          <a:endParaRPr lang="en-IN" sz="2000" b="1">
            <a:solidFill>
              <a:schemeClr val="bg1"/>
            </a:solidFill>
            <a:effectLst/>
            <a:latin typeface="+mj-lt"/>
            <a:ea typeface="+mn-ea"/>
            <a:cs typeface="+mn-cs"/>
          </a:endParaRPr>
        </a:p>
        <a:p>
          <a:r>
            <a:rPr lang="en-IN" sz="2000" b="1">
              <a:solidFill>
                <a:schemeClr val="bg1"/>
              </a:solidFill>
              <a:effectLst/>
              <a:latin typeface="+mj-lt"/>
              <a:ea typeface="+mn-ea"/>
              <a:cs typeface="+mn-cs"/>
            </a:rPr>
            <a:t>6. Defect Counts by Type Across Products:?</a:t>
          </a:r>
        </a:p>
        <a:p>
          <a:r>
            <a:rPr lang="en-IN" sz="2000" b="1">
              <a:solidFill>
                <a:schemeClr val="bg1"/>
              </a:solidFill>
              <a:effectLst/>
              <a:latin typeface="+mj-lt"/>
              <a:ea typeface="+mn-ea"/>
              <a:cs typeface="+mn-cs"/>
            </a:rPr>
            <a:t>   - Objective: Track defect types (e.g., Welding, Painting) across all products.</a:t>
          </a:r>
        </a:p>
        <a:p>
          <a:r>
            <a:rPr lang="en-IN" sz="2000" b="1">
              <a:solidFill>
                <a:schemeClr val="bg1"/>
              </a:solidFill>
              <a:effectLst/>
              <a:latin typeface="+mj-lt"/>
              <a:ea typeface="+mn-ea"/>
              <a:cs typeface="+mn-cs"/>
            </a:rPr>
            <a:t>   - Insight: Pinpoints recurring quality issues by process type.</a:t>
          </a:r>
        </a:p>
        <a:p>
          <a:endParaRPr lang="en-IN" sz="2000" b="1">
            <a:solidFill>
              <a:schemeClr val="bg1"/>
            </a:solidFill>
            <a:effectLst/>
            <a:latin typeface="+mj-lt"/>
            <a:ea typeface="+mn-ea"/>
            <a:cs typeface="+mn-cs"/>
          </a:endParaRPr>
        </a:p>
        <a:p>
          <a:r>
            <a:rPr lang="en-IN" sz="2000" b="1">
              <a:solidFill>
                <a:schemeClr val="bg1"/>
              </a:solidFill>
              <a:effectLst/>
              <a:latin typeface="+mj-lt"/>
              <a:ea typeface="+mn-ea"/>
              <a:cs typeface="+mn-cs"/>
            </a:rPr>
            <a:t>7. Filters (Supplier, Machine, Shift, Defect Type)</a:t>
          </a:r>
        </a:p>
        <a:p>
          <a:r>
            <a:rPr lang="en-IN" sz="2000" b="1">
              <a:solidFill>
                <a:schemeClr val="bg1"/>
              </a:solidFill>
              <a:effectLst/>
              <a:latin typeface="+mj-lt"/>
              <a:ea typeface="+mn-ea"/>
              <a:cs typeface="+mn-cs"/>
            </a:rPr>
            <a:t>   - Objective: Enable dynamic analysis by slicing data across key dimensions.</a:t>
          </a:r>
        </a:p>
        <a:p>
          <a:r>
            <a:rPr lang="en-IN" sz="2000" b="1">
              <a:solidFill>
                <a:schemeClr val="bg1"/>
              </a:solidFill>
              <a:effectLst/>
              <a:latin typeface="+mj-lt"/>
              <a:ea typeface="+mn-ea"/>
              <a:cs typeface="+mn-cs"/>
            </a:rPr>
            <a:t>   - Insight: Empowers users to drill down into specific scenarios.</a:t>
          </a:r>
        </a:p>
        <a:p>
          <a:endParaRPr lang="en-IN" sz="2000" b="1">
            <a:solidFill>
              <a:schemeClr val="bg1"/>
            </a:solidFill>
            <a:effectLst/>
            <a:latin typeface="+mj-lt"/>
            <a:ea typeface="+mn-ea"/>
            <a:cs typeface="+mn-cs"/>
          </a:endParaRPr>
        </a:p>
        <a:p>
          <a:r>
            <a:rPr lang="en-IN" sz="2000" b="1">
              <a:solidFill>
                <a:schemeClr val="bg1"/>
              </a:solidFill>
              <a:effectLst/>
              <a:latin typeface="+mj-lt"/>
              <a:ea typeface="+mn-ea"/>
              <a:cs typeface="+mn-cs"/>
            </a:rPr>
            <a:t>  </a:t>
          </a:r>
        </a:p>
        <a:p>
          <a:endParaRPr lang="en-IN" sz="2000" b="1">
            <a:solidFill>
              <a:schemeClr val="bg1"/>
            </a:solidFill>
            <a:effectLst/>
            <a:latin typeface="+mj-lt"/>
            <a:ea typeface="+mn-ea"/>
            <a:cs typeface="+mn-cs"/>
          </a:endParaRPr>
        </a:p>
        <a:p>
          <a:r>
            <a:rPr lang="en-IN" sz="2000" b="1">
              <a:solidFill>
                <a:schemeClr val="bg1"/>
              </a:solidFill>
              <a:effectLst/>
              <a:latin typeface="+mj-lt"/>
              <a:ea typeface="+mn-ea"/>
              <a:cs typeface="+mn-cs"/>
            </a:rPr>
            <a:t>								Presented B</a:t>
          </a:r>
          <a:r>
            <a:rPr lang="en-IN" sz="2000" b="1" baseline="0">
              <a:solidFill>
                <a:schemeClr val="bg1"/>
              </a:solidFill>
              <a:effectLst/>
              <a:latin typeface="+mj-lt"/>
              <a:ea typeface="+mn-ea"/>
              <a:cs typeface="+mn-cs"/>
            </a:rPr>
            <a:t>y Aarti Pandey</a:t>
          </a:r>
        </a:p>
        <a:p>
          <a:r>
            <a:rPr lang="en-IN" sz="2000" b="1" baseline="0">
              <a:solidFill>
                <a:schemeClr val="bg1"/>
              </a:solidFill>
              <a:effectLst/>
              <a:latin typeface="+mj-lt"/>
              <a:ea typeface="+mn-ea"/>
              <a:cs typeface="+mn-cs"/>
            </a:rPr>
            <a:t>								Lerner of IT Vedant</a:t>
          </a:r>
        </a:p>
        <a:p>
          <a:r>
            <a:rPr lang="en-IN" sz="2000" b="1" baseline="0">
              <a:solidFill>
                <a:schemeClr val="bg1"/>
              </a:solidFill>
              <a:effectLst/>
              <a:latin typeface="+mj-lt"/>
              <a:ea typeface="+mn-ea"/>
              <a:cs typeface="+mn-cs"/>
            </a:rPr>
            <a:t>									</a:t>
          </a:r>
          <a:endParaRPr lang="en-IN" sz="2000" b="1">
            <a:solidFill>
              <a:schemeClr val="bg1"/>
            </a:solidFill>
            <a:effectLst/>
            <a:latin typeface="+mj-lt"/>
            <a:ea typeface="+mn-ea"/>
            <a:cs typeface="+mn-cs"/>
          </a:endParaRPr>
        </a:p>
        <a:p>
          <a:endParaRPr lang="en-IN" sz="2000" b="1">
            <a:solidFill>
              <a:schemeClr val="bg1"/>
            </a:solidFill>
            <a:effectLst/>
            <a:latin typeface="+mj-lt"/>
            <a:ea typeface="+mn-ea"/>
            <a:cs typeface="+mn-cs"/>
          </a:endParaRPr>
        </a:p>
        <a:p>
          <a:endParaRPr lang="en-IN" sz="2000" b="1">
            <a:solidFill>
              <a:schemeClr val="bg1"/>
            </a:solidFill>
            <a:effectLst/>
            <a:latin typeface="+mj-lt"/>
            <a:ea typeface="+mn-ea"/>
            <a:cs typeface="+mn-cs"/>
          </a:endParaRPr>
        </a:p>
        <a:p>
          <a:endParaRPr lang="en-IN" sz="2000" b="1">
            <a:solidFill>
              <a:schemeClr val="bg1"/>
            </a:solidFill>
            <a:effectLst/>
            <a:latin typeface="+mj-lt"/>
            <a:ea typeface="+mn-ea"/>
            <a:cs typeface="+mn-cs"/>
          </a:endParaRPr>
        </a:p>
        <a:p>
          <a:endParaRPr lang="en-IN" sz="2000" b="1">
            <a:solidFill>
              <a:schemeClr val="bg1"/>
            </a:solidFill>
            <a:effectLst/>
            <a:latin typeface="+mj-lt"/>
            <a:ea typeface="+mn-ea"/>
            <a:cs typeface="+mn-cs"/>
          </a:endParaRPr>
        </a:p>
        <a:p>
          <a:endParaRPr lang="en-IN" sz="2000" b="1">
            <a:solidFill>
              <a:schemeClr val="bg1"/>
            </a:solidFill>
            <a:effectLst/>
            <a:latin typeface="+mj-lt"/>
            <a:ea typeface="+mn-ea"/>
            <a:cs typeface="+mn-cs"/>
          </a:endParaRPr>
        </a:p>
        <a:p>
          <a:endParaRPr lang="en-IN" sz="2000" b="1">
            <a:solidFill>
              <a:schemeClr val="bg1"/>
            </a:solidFill>
            <a:effectLst/>
            <a:latin typeface="+mj-lt"/>
            <a:ea typeface="+mn-ea"/>
            <a:cs typeface="+mn-cs"/>
          </a:endParaRPr>
        </a:p>
        <a:p>
          <a:endParaRPr lang="en-IN" sz="2000" b="1">
            <a:solidFill>
              <a:schemeClr val="bg1"/>
            </a:solidFill>
            <a:effectLst/>
            <a:latin typeface="+mj-lt"/>
            <a:ea typeface="+mn-ea"/>
            <a:cs typeface="+mn-cs"/>
          </a:endParaRPr>
        </a:p>
        <a:p>
          <a:endParaRPr lang="en-IN" sz="2000" b="1">
            <a:solidFill>
              <a:schemeClr val="bg1"/>
            </a:solidFill>
            <a:effectLst/>
            <a:latin typeface="+mj-lt"/>
            <a:ea typeface="+mn-ea"/>
            <a:cs typeface="+mn-cs"/>
          </a:endParaRPr>
        </a:p>
        <a:p>
          <a:endParaRPr lang="en-IN" sz="2000" b="1">
            <a:solidFill>
              <a:schemeClr val="bg1"/>
            </a:solidFill>
            <a:effectLst/>
            <a:latin typeface="+mj-lt"/>
            <a:ea typeface="+mn-ea"/>
            <a:cs typeface="+mn-cs"/>
          </a:endParaRPr>
        </a:p>
        <a:p>
          <a:endParaRPr lang="en-IN" sz="2000" b="1">
            <a:solidFill>
              <a:schemeClr val="bg1"/>
            </a:solidFill>
            <a:effectLst/>
            <a:latin typeface="+mj-lt"/>
            <a:ea typeface="+mn-ea"/>
            <a:cs typeface="+mn-cs"/>
          </a:endParaRPr>
        </a:p>
        <a:p>
          <a:endParaRPr lang="en-IN" sz="2000" b="1">
            <a:solidFill>
              <a:schemeClr val="bg1"/>
            </a:solidFill>
            <a:effectLst/>
            <a:latin typeface="+mj-lt"/>
            <a:ea typeface="+mn-ea"/>
            <a:cs typeface="+mn-cs"/>
          </a:endParaRPr>
        </a:p>
        <a:p>
          <a:endParaRPr lang="en-IN" sz="2000" b="1">
            <a:solidFill>
              <a:schemeClr val="bg1"/>
            </a:solidFill>
            <a:effectLst/>
            <a:latin typeface="+mj-lt"/>
            <a:ea typeface="+mn-ea"/>
            <a:cs typeface="+mn-cs"/>
          </a:endParaRPr>
        </a:p>
        <a:p>
          <a:endParaRPr lang="en-IN" sz="2000" b="1">
            <a:solidFill>
              <a:schemeClr val="bg1"/>
            </a:solidFill>
            <a:latin typeface="+mj-lt"/>
          </a:endParaRPr>
        </a:p>
      </xdr:txBody>
    </xdr:sp>
    <xdr:clientData/>
  </xdr:twoCellAnchor>
  <xdr:twoCellAnchor editAs="oneCell">
    <xdr:from>
      <xdr:col>20</xdr:col>
      <xdr:colOff>154609</xdr:colOff>
      <xdr:row>45</xdr:row>
      <xdr:rowOff>22086</xdr:rowOff>
    </xdr:from>
    <xdr:to>
      <xdr:col>24</xdr:col>
      <xdr:colOff>541131</xdr:colOff>
      <xdr:row>54</xdr:row>
      <xdr:rowOff>88348</xdr:rowOff>
    </xdr:to>
    <xdr:pic>
      <xdr:nvPicPr>
        <xdr:cNvPr id="5" name="Picture 4">
          <a:extLst>
            <a:ext uri="{FF2B5EF4-FFF2-40B4-BE49-F238E27FC236}">
              <a16:creationId xmlns:a16="http://schemas.microsoft.com/office/drawing/2014/main" id="{75A52322-BAA3-4504-D049-B95FA5B412F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2302435" y="13439912"/>
          <a:ext cx="2816087" cy="274982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3</xdr:col>
      <xdr:colOff>208102</xdr:colOff>
      <xdr:row>9</xdr:row>
      <xdr:rowOff>55483</xdr:rowOff>
    </xdr:from>
    <xdr:to>
      <xdr:col>10</xdr:col>
      <xdr:colOff>379855</xdr:colOff>
      <xdr:row>24</xdr:row>
      <xdr:rowOff>4583</xdr:rowOff>
    </xdr:to>
    <xdr:graphicFrame macro="">
      <xdr:nvGraphicFramePr>
        <xdr:cNvPr id="2" name="Chart 1">
          <a:extLst>
            <a:ext uri="{FF2B5EF4-FFF2-40B4-BE49-F238E27FC236}">
              <a16:creationId xmlns:a16="http://schemas.microsoft.com/office/drawing/2014/main" id="{7479ECE5-45D9-45C0-BAC9-78DB539C23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529390</xdr:colOff>
      <xdr:row>24</xdr:row>
      <xdr:rowOff>155561</xdr:rowOff>
    </xdr:from>
    <xdr:to>
      <xdr:col>18</xdr:col>
      <xdr:colOff>381445</xdr:colOff>
      <xdr:row>38</xdr:row>
      <xdr:rowOff>150253</xdr:rowOff>
    </xdr:to>
    <xdr:graphicFrame macro="">
      <xdr:nvGraphicFramePr>
        <xdr:cNvPr id="3" name="Chart 2">
          <a:extLst>
            <a:ext uri="{FF2B5EF4-FFF2-40B4-BE49-F238E27FC236}">
              <a16:creationId xmlns:a16="http://schemas.microsoft.com/office/drawing/2014/main" id="{0A858932-9432-48EF-8F56-27A8419940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225980</xdr:colOff>
      <xdr:row>9</xdr:row>
      <xdr:rowOff>62753</xdr:rowOff>
    </xdr:from>
    <xdr:to>
      <xdr:col>23</xdr:col>
      <xdr:colOff>570912</xdr:colOff>
      <xdr:row>24</xdr:row>
      <xdr:rowOff>0</xdr:rowOff>
    </xdr:to>
    <xdr:graphicFrame macro="">
      <xdr:nvGraphicFramePr>
        <xdr:cNvPr id="4" name="Chart 3">
          <a:extLst>
            <a:ext uri="{FF2B5EF4-FFF2-40B4-BE49-F238E27FC236}">
              <a16:creationId xmlns:a16="http://schemas.microsoft.com/office/drawing/2014/main" id="{4FA083C7-23AE-43F3-9CAA-23960B66B4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15</xdr:col>
      <xdr:colOff>395247</xdr:colOff>
      <xdr:row>43</xdr:row>
      <xdr:rowOff>109604</xdr:rowOff>
    </xdr:from>
    <xdr:to>
      <xdr:col>23</xdr:col>
      <xdr:colOff>624579</xdr:colOff>
      <xdr:row>47</xdr:row>
      <xdr:rowOff>5991</xdr:rowOff>
    </xdr:to>
    <mc:AlternateContent xmlns:mc="http://schemas.openxmlformats.org/markup-compatibility/2006" xmlns:a14="http://schemas.microsoft.com/office/drawing/2010/main">
      <mc:Choice Requires="a14">
        <xdr:graphicFrame macro="">
          <xdr:nvGraphicFramePr>
            <xdr:cNvPr id="7" name="Shift">
              <a:extLst>
                <a:ext uri="{FF2B5EF4-FFF2-40B4-BE49-F238E27FC236}">
                  <a16:creationId xmlns:a16="http://schemas.microsoft.com/office/drawing/2014/main" id="{02D5F1EB-112E-4983-9164-3D7D118D33B0}"/>
                </a:ext>
              </a:extLst>
            </xdr:cNvPr>
            <xdr:cNvGraphicFramePr/>
          </xdr:nvGraphicFramePr>
          <xdr:xfrm>
            <a:off x="0" y="0"/>
            <a:ext cx="0" cy="0"/>
          </xdr:xfrm>
          <a:graphic>
            <a:graphicData uri="http://schemas.microsoft.com/office/drawing/2010/slicer">
              <sle:slicer xmlns:sle="http://schemas.microsoft.com/office/drawing/2010/slicer" name="Shift"/>
            </a:graphicData>
          </a:graphic>
        </xdr:graphicFrame>
      </mc:Choice>
      <mc:Fallback xmlns="">
        <xdr:sp macro="" textlink="">
          <xdr:nvSpPr>
            <xdr:cNvPr id="0" name=""/>
            <xdr:cNvSpPr>
              <a:spLocks noTextEdit="1"/>
            </xdr:cNvSpPr>
          </xdr:nvSpPr>
          <xdr:spPr>
            <a:xfrm>
              <a:off x="9082047" y="7962686"/>
              <a:ext cx="5106132" cy="61356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370061</xdr:colOff>
      <xdr:row>39</xdr:row>
      <xdr:rowOff>129162</xdr:rowOff>
    </xdr:from>
    <xdr:to>
      <xdr:col>23</xdr:col>
      <xdr:colOff>546496</xdr:colOff>
      <xdr:row>43</xdr:row>
      <xdr:rowOff>74789</xdr:rowOff>
    </xdr:to>
    <mc:AlternateContent xmlns:mc="http://schemas.openxmlformats.org/markup-compatibility/2006" xmlns:a14="http://schemas.microsoft.com/office/drawing/2010/main">
      <mc:Choice Requires="a14">
        <xdr:graphicFrame macro="">
          <xdr:nvGraphicFramePr>
            <xdr:cNvPr id="8" name="Machine Used">
              <a:extLst>
                <a:ext uri="{FF2B5EF4-FFF2-40B4-BE49-F238E27FC236}">
                  <a16:creationId xmlns:a16="http://schemas.microsoft.com/office/drawing/2014/main" id="{88D5816F-11DB-4FD3-97D6-521A42F9C824}"/>
                </a:ext>
              </a:extLst>
            </xdr:cNvPr>
            <xdr:cNvGraphicFramePr/>
          </xdr:nvGraphicFramePr>
          <xdr:xfrm>
            <a:off x="0" y="0"/>
            <a:ext cx="0" cy="0"/>
          </xdr:xfrm>
          <a:graphic>
            <a:graphicData uri="http://schemas.microsoft.com/office/drawing/2010/slicer">
              <sle:slicer xmlns:sle="http://schemas.microsoft.com/office/drawing/2010/slicer" name="Machine Used"/>
            </a:graphicData>
          </a:graphic>
        </xdr:graphicFrame>
      </mc:Choice>
      <mc:Fallback xmlns="">
        <xdr:sp macro="" textlink="">
          <xdr:nvSpPr>
            <xdr:cNvPr id="0" name=""/>
            <xdr:cNvSpPr>
              <a:spLocks noTextEdit="1"/>
            </xdr:cNvSpPr>
          </xdr:nvSpPr>
          <xdr:spPr>
            <a:xfrm>
              <a:off x="9056861" y="7265068"/>
              <a:ext cx="5053235" cy="66280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383906</xdr:colOff>
      <xdr:row>47</xdr:row>
      <xdr:rowOff>51666</xdr:rowOff>
    </xdr:from>
    <xdr:to>
      <xdr:col>23</xdr:col>
      <xdr:colOff>601228</xdr:colOff>
      <xdr:row>50</xdr:row>
      <xdr:rowOff>179042</xdr:rowOff>
    </xdr:to>
    <mc:AlternateContent xmlns:mc="http://schemas.openxmlformats.org/markup-compatibility/2006" xmlns:a14="http://schemas.microsoft.com/office/drawing/2010/main">
      <mc:Choice Requires="a14">
        <xdr:graphicFrame macro="">
          <xdr:nvGraphicFramePr>
            <xdr:cNvPr id="9" name="Defect Type">
              <a:extLst>
                <a:ext uri="{FF2B5EF4-FFF2-40B4-BE49-F238E27FC236}">
                  <a16:creationId xmlns:a16="http://schemas.microsoft.com/office/drawing/2014/main" id="{EB06B0A6-14A4-42BD-936C-2FF55BFDD0E2}"/>
                </a:ext>
              </a:extLst>
            </xdr:cNvPr>
            <xdr:cNvGraphicFramePr/>
          </xdr:nvGraphicFramePr>
          <xdr:xfrm>
            <a:off x="0" y="0"/>
            <a:ext cx="0" cy="0"/>
          </xdr:xfrm>
          <a:graphic>
            <a:graphicData uri="http://schemas.microsoft.com/office/drawing/2010/slicer">
              <sle:slicer xmlns:sle="http://schemas.microsoft.com/office/drawing/2010/slicer" name="Defect Type"/>
            </a:graphicData>
          </a:graphic>
        </xdr:graphicFrame>
      </mc:Choice>
      <mc:Fallback xmlns="">
        <xdr:sp macro="" textlink="">
          <xdr:nvSpPr>
            <xdr:cNvPr id="0" name=""/>
            <xdr:cNvSpPr>
              <a:spLocks noTextEdit="1"/>
            </xdr:cNvSpPr>
          </xdr:nvSpPr>
          <xdr:spPr>
            <a:xfrm>
              <a:off x="9070706" y="8621925"/>
              <a:ext cx="5094122" cy="66525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517187</xdr:colOff>
      <xdr:row>24</xdr:row>
      <xdr:rowOff>174242</xdr:rowOff>
    </xdr:from>
    <xdr:to>
      <xdr:col>23</xdr:col>
      <xdr:colOff>564776</xdr:colOff>
      <xdr:row>38</xdr:row>
      <xdr:rowOff>171718</xdr:rowOff>
    </xdr:to>
    <mc:AlternateContent xmlns:mc="http://schemas.openxmlformats.org/markup-compatibility/2006" xmlns:a14="http://schemas.microsoft.com/office/drawing/2010/main">
      <mc:Choice Requires="a14">
        <xdr:graphicFrame macro="">
          <xdr:nvGraphicFramePr>
            <xdr:cNvPr id="10" name="Supplier">
              <a:extLst>
                <a:ext uri="{FF2B5EF4-FFF2-40B4-BE49-F238E27FC236}">
                  <a16:creationId xmlns:a16="http://schemas.microsoft.com/office/drawing/2014/main" id="{A54D4B12-9A81-48AE-A23A-30616CB6B66E}"/>
                </a:ext>
              </a:extLst>
            </xdr:cNvPr>
            <xdr:cNvGraphicFramePr/>
          </xdr:nvGraphicFramePr>
          <xdr:xfrm>
            <a:off x="0" y="0"/>
            <a:ext cx="0" cy="0"/>
          </xdr:xfrm>
          <a:graphic>
            <a:graphicData uri="http://schemas.microsoft.com/office/drawing/2010/slicer">
              <sle:slicer xmlns:sle="http://schemas.microsoft.com/office/drawing/2010/slicer" name="Supplier"/>
            </a:graphicData>
          </a:graphic>
        </xdr:graphicFrame>
      </mc:Choice>
      <mc:Fallback xmlns="">
        <xdr:sp macro="" textlink="">
          <xdr:nvSpPr>
            <xdr:cNvPr id="0" name=""/>
            <xdr:cNvSpPr>
              <a:spLocks noTextEdit="1"/>
            </xdr:cNvSpPr>
          </xdr:nvSpPr>
          <xdr:spPr>
            <a:xfrm>
              <a:off x="11067131" y="4692580"/>
              <a:ext cx="3106321" cy="239594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526087</xdr:colOff>
      <xdr:row>9</xdr:row>
      <xdr:rowOff>74377</xdr:rowOff>
    </xdr:from>
    <xdr:to>
      <xdr:col>17</xdr:col>
      <xdr:colOff>50957</xdr:colOff>
      <xdr:row>24</xdr:row>
      <xdr:rowOff>32084</xdr:rowOff>
    </xdr:to>
    <xdr:graphicFrame macro="">
      <xdr:nvGraphicFramePr>
        <xdr:cNvPr id="11" name="Chart 10">
          <a:extLst>
            <a:ext uri="{FF2B5EF4-FFF2-40B4-BE49-F238E27FC236}">
              <a16:creationId xmlns:a16="http://schemas.microsoft.com/office/drawing/2014/main" id="{28820BA6-D522-4113-B5EE-32982A1B2F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161096</xdr:colOff>
      <xdr:row>39</xdr:row>
      <xdr:rowOff>87307</xdr:rowOff>
    </xdr:from>
    <xdr:to>
      <xdr:col>15</xdr:col>
      <xdr:colOff>216571</xdr:colOff>
      <xdr:row>50</xdr:row>
      <xdr:rowOff>222452</xdr:rowOff>
    </xdr:to>
    <xdr:graphicFrame macro="">
      <xdr:nvGraphicFramePr>
        <xdr:cNvPr id="14" name="Chart 13">
          <a:extLst>
            <a:ext uri="{FF2B5EF4-FFF2-40B4-BE49-F238E27FC236}">
              <a16:creationId xmlns:a16="http://schemas.microsoft.com/office/drawing/2014/main" id="{1FD444C4-9D2D-46C3-86AB-E1FCCEBBC1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237329</xdr:colOff>
      <xdr:row>2</xdr:row>
      <xdr:rowOff>308439</xdr:rowOff>
    </xdr:from>
    <xdr:to>
      <xdr:col>7</xdr:col>
      <xdr:colOff>92948</xdr:colOff>
      <xdr:row>8</xdr:row>
      <xdr:rowOff>119373</xdr:rowOff>
    </xdr:to>
    <xdr:sp macro="" textlink="">
      <xdr:nvSpPr>
        <xdr:cNvPr id="44" name="Rectangle 43">
          <a:extLst>
            <a:ext uri="{FF2B5EF4-FFF2-40B4-BE49-F238E27FC236}">
              <a16:creationId xmlns:a16="http://schemas.microsoft.com/office/drawing/2014/main" id="{F30BBDFF-2E59-4595-AEF1-72DF1CD1B2FA}"/>
            </a:ext>
          </a:extLst>
        </xdr:cNvPr>
        <xdr:cNvSpPr/>
      </xdr:nvSpPr>
      <xdr:spPr>
        <a:xfrm>
          <a:off x="1331023" y="667027"/>
          <a:ext cx="2294019" cy="1030134"/>
        </a:xfrm>
        <a:prstGeom prst="rect">
          <a:avLst/>
        </a:prstGeom>
        <a:solidFill>
          <a:schemeClr val="accent4">
            <a:lumMod val="20000"/>
            <a:lumOff val="80000"/>
          </a:schemeClr>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0">
            <a:ln>
              <a:noFill/>
            </a:ln>
            <a:solidFill>
              <a:schemeClr val="accent4"/>
            </a:solidFill>
            <a:latin typeface="+mj-lt"/>
          </a:endParaRPr>
        </a:p>
      </xdr:txBody>
    </xdr:sp>
    <xdr:clientData/>
  </xdr:twoCellAnchor>
  <xdr:twoCellAnchor>
    <xdr:from>
      <xdr:col>3</xdr:col>
      <xdr:colOff>240631</xdr:colOff>
      <xdr:row>3</xdr:row>
      <xdr:rowOff>48128</xdr:rowOff>
    </xdr:from>
    <xdr:to>
      <xdr:col>6</xdr:col>
      <xdr:colOff>545431</xdr:colOff>
      <xdr:row>5</xdr:row>
      <xdr:rowOff>168443</xdr:rowOff>
    </xdr:to>
    <xdr:sp macro="" textlink="">
      <xdr:nvSpPr>
        <xdr:cNvPr id="13" name="TextBox 12">
          <a:extLst>
            <a:ext uri="{FF2B5EF4-FFF2-40B4-BE49-F238E27FC236}">
              <a16:creationId xmlns:a16="http://schemas.microsoft.com/office/drawing/2014/main" id="{6AD39054-265B-DFB9-BC7B-F3AD1D7A40CF}"/>
            </a:ext>
          </a:extLst>
        </xdr:cNvPr>
        <xdr:cNvSpPr txBox="1"/>
      </xdr:nvSpPr>
      <xdr:spPr>
        <a:xfrm>
          <a:off x="240631" y="553454"/>
          <a:ext cx="2133600" cy="489284"/>
        </a:xfrm>
        <a:prstGeom prst="rect">
          <a:avLst/>
        </a:prstGeom>
        <a:solidFill>
          <a:schemeClr val="accent4">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b="1" cap="none" spc="0">
              <a:ln w="0"/>
              <a:solidFill>
                <a:sysClr val="windowText" lastClr="000000"/>
              </a:solidFill>
              <a:effectLst>
                <a:outerShdw blurRad="38100" dist="19050" dir="2700000" algn="tl" rotWithShape="0">
                  <a:schemeClr val="dk1">
                    <a:alpha val="40000"/>
                  </a:schemeClr>
                </a:outerShdw>
              </a:effectLst>
              <a:latin typeface="+mj-lt"/>
            </a:rPr>
            <a:t>Total Production</a:t>
          </a:r>
        </a:p>
      </xdr:txBody>
    </xdr:sp>
    <xdr:clientData/>
  </xdr:twoCellAnchor>
  <xdr:twoCellAnchor>
    <xdr:from>
      <xdr:col>3</xdr:col>
      <xdr:colOff>577515</xdr:colOff>
      <xdr:row>5</xdr:row>
      <xdr:rowOff>88231</xdr:rowOff>
    </xdr:from>
    <xdr:to>
      <xdr:col>6</xdr:col>
      <xdr:colOff>152399</xdr:colOff>
      <xdr:row>7</xdr:row>
      <xdr:rowOff>120315</xdr:rowOff>
    </xdr:to>
    <xdr:sp macro="" textlink="">
      <xdr:nvSpPr>
        <xdr:cNvPr id="16" name="TextBox 15">
          <a:extLst>
            <a:ext uri="{FF2B5EF4-FFF2-40B4-BE49-F238E27FC236}">
              <a16:creationId xmlns:a16="http://schemas.microsoft.com/office/drawing/2014/main" id="{EED5D01C-EC6E-76DE-9898-50CC06A619C1}"/>
            </a:ext>
          </a:extLst>
        </xdr:cNvPr>
        <xdr:cNvSpPr txBox="1"/>
      </xdr:nvSpPr>
      <xdr:spPr>
        <a:xfrm>
          <a:off x="577515" y="962526"/>
          <a:ext cx="1403684" cy="401052"/>
        </a:xfrm>
        <a:prstGeom prst="rect">
          <a:avLst/>
        </a:prstGeom>
        <a:solidFill>
          <a:schemeClr val="accent4">
            <a:lumMod val="20000"/>
            <a:lumOff val="80000"/>
          </a:schemeClr>
        </a:solidFill>
        <a:ln w="9525" cmpd="sng">
          <a:solidFill>
            <a:schemeClr val="accent4">
              <a:lumMod val="20000"/>
              <a:lumOff val="8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solidFill>
                <a:schemeClr val="tx1"/>
              </a:solidFill>
              <a:latin typeface="+mj-lt"/>
            </a:rPr>
            <a:t>1012917</a:t>
          </a:r>
        </a:p>
      </xdr:txBody>
    </xdr:sp>
    <xdr:clientData/>
  </xdr:twoCellAnchor>
  <xdr:twoCellAnchor>
    <xdr:from>
      <xdr:col>7</xdr:col>
      <xdr:colOff>256672</xdr:colOff>
      <xdr:row>3</xdr:row>
      <xdr:rowOff>0</xdr:rowOff>
    </xdr:from>
    <xdr:to>
      <xdr:col>12</xdr:col>
      <xdr:colOff>152399</xdr:colOff>
      <xdr:row>8</xdr:row>
      <xdr:rowOff>131776</xdr:rowOff>
    </xdr:to>
    <xdr:sp macro="" textlink="">
      <xdr:nvSpPr>
        <xdr:cNvPr id="17" name="Rectangle 16">
          <a:extLst>
            <a:ext uri="{FF2B5EF4-FFF2-40B4-BE49-F238E27FC236}">
              <a16:creationId xmlns:a16="http://schemas.microsoft.com/office/drawing/2014/main" id="{2B6294F0-2DC3-4C9E-A3F0-E938A1D99AB7}"/>
            </a:ext>
          </a:extLst>
        </xdr:cNvPr>
        <xdr:cNvSpPr/>
      </xdr:nvSpPr>
      <xdr:spPr>
        <a:xfrm>
          <a:off x="2695072" y="505326"/>
          <a:ext cx="2943727" cy="1054197"/>
        </a:xfrm>
        <a:prstGeom prst="rect">
          <a:avLst/>
        </a:prstGeom>
        <a:solidFill>
          <a:schemeClr val="accent4">
            <a:lumMod val="20000"/>
            <a:lumOff val="80000"/>
          </a:schemeClr>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0" cap="none" spc="0">
            <a:ln w="0"/>
            <a:solidFill>
              <a:schemeClr val="tx1"/>
            </a:solidFill>
            <a:effectLst>
              <a:outerShdw blurRad="38100" dist="19050" dir="2700000" algn="tl" rotWithShape="0">
                <a:schemeClr val="dk1">
                  <a:alpha val="40000"/>
                </a:schemeClr>
              </a:outerShdw>
            </a:effectLst>
            <a:latin typeface="+mj-lt"/>
          </a:endParaRPr>
        </a:p>
      </xdr:txBody>
    </xdr:sp>
    <xdr:clientData/>
  </xdr:twoCellAnchor>
  <xdr:twoCellAnchor>
    <xdr:from>
      <xdr:col>7</xdr:col>
      <xdr:colOff>268941</xdr:colOff>
      <xdr:row>3</xdr:row>
      <xdr:rowOff>51567</xdr:rowOff>
    </xdr:from>
    <xdr:to>
      <xdr:col>12</xdr:col>
      <xdr:colOff>32084</xdr:colOff>
      <xdr:row>7</xdr:row>
      <xdr:rowOff>56148</xdr:rowOff>
    </xdr:to>
    <xdr:sp macro="" textlink="">
      <xdr:nvSpPr>
        <xdr:cNvPr id="18" name="TextBox 17">
          <a:extLst>
            <a:ext uri="{FF2B5EF4-FFF2-40B4-BE49-F238E27FC236}">
              <a16:creationId xmlns:a16="http://schemas.microsoft.com/office/drawing/2014/main" id="{F11E0665-74B2-46B8-9DA3-685336FF0870}"/>
            </a:ext>
          </a:extLst>
        </xdr:cNvPr>
        <xdr:cNvSpPr txBox="1"/>
      </xdr:nvSpPr>
      <xdr:spPr>
        <a:xfrm>
          <a:off x="2707341" y="732885"/>
          <a:ext cx="2811143" cy="721757"/>
        </a:xfrm>
        <a:prstGeom prst="rect">
          <a:avLst/>
        </a:prstGeom>
        <a:solidFill>
          <a:schemeClr val="accent4">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b="1" cap="none" spc="0">
              <a:ln w="0"/>
              <a:solidFill>
                <a:sysClr val="windowText" lastClr="000000"/>
              </a:solidFill>
              <a:effectLst>
                <a:outerShdw blurRad="38100" dist="19050" dir="2700000" algn="tl" rotWithShape="0">
                  <a:schemeClr val="dk1">
                    <a:alpha val="40000"/>
                  </a:schemeClr>
                </a:outerShdw>
              </a:effectLst>
              <a:latin typeface="+mj-lt"/>
            </a:rPr>
            <a:t>Total</a:t>
          </a:r>
          <a:r>
            <a:rPr lang="en-IN" sz="1800" b="1" cap="none" spc="0" baseline="0">
              <a:ln w="0"/>
              <a:solidFill>
                <a:sysClr val="windowText" lastClr="000000"/>
              </a:solidFill>
              <a:effectLst>
                <a:outerShdw blurRad="38100" dist="19050" dir="2700000" algn="tl" rotWithShape="0">
                  <a:schemeClr val="dk1">
                    <a:alpha val="40000"/>
                  </a:schemeClr>
                </a:outerShdw>
              </a:effectLst>
              <a:latin typeface="+mj-lt"/>
            </a:rPr>
            <a:t> Del. Delay Days</a:t>
          </a:r>
          <a:endParaRPr lang="en-IN" sz="1800" b="1" cap="none" spc="0">
            <a:ln w="0"/>
            <a:solidFill>
              <a:sysClr val="windowText" lastClr="000000"/>
            </a:solidFill>
            <a:effectLst>
              <a:outerShdw blurRad="38100" dist="19050" dir="2700000" algn="tl" rotWithShape="0">
                <a:schemeClr val="dk1">
                  <a:alpha val="40000"/>
                </a:schemeClr>
              </a:outerShdw>
            </a:effectLst>
            <a:latin typeface="+mj-lt"/>
          </a:endParaRPr>
        </a:p>
      </xdr:txBody>
    </xdr:sp>
    <xdr:clientData/>
  </xdr:twoCellAnchor>
  <xdr:twoCellAnchor>
    <xdr:from>
      <xdr:col>8</xdr:col>
      <xdr:colOff>593555</xdr:colOff>
      <xdr:row>5</xdr:row>
      <xdr:rowOff>35522</xdr:rowOff>
    </xdr:from>
    <xdr:to>
      <xdr:col>10</xdr:col>
      <xdr:colOff>360947</xdr:colOff>
      <xdr:row>7</xdr:row>
      <xdr:rowOff>67606</xdr:rowOff>
    </xdr:to>
    <xdr:sp macro="" textlink="">
      <xdr:nvSpPr>
        <xdr:cNvPr id="19" name="TextBox 18">
          <a:extLst>
            <a:ext uri="{FF2B5EF4-FFF2-40B4-BE49-F238E27FC236}">
              <a16:creationId xmlns:a16="http://schemas.microsoft.com/office/drawing/2014/main" id="{0FDDA123-EC47-47BA-84EB-CA585061A74C}"/>
            </a:ext>
          </a:extLst>
        </xdr:cNvPr>
        <xdr:cNvSpPr txBox="1"/>
      </xdr:nvSpPr>
      <xdr:spPr>
        <a:xfrm>
          <a:off x="3641555" y="909817"/>
          <a:ext cx="986592" cy="401052"/>
        </a:xfrm>
        <a:prstGeom prst="rect">
          <a:avLst/>
        </a:prstGeom>
        <a:solidFill>
          <a:schemeClr val="accent4">
            <a:lumMod val="20000"/>
            <a:lumOff val="80000"/>
          </a:schemeClr>
        </a:solidFill>
        <a:ln w="9525" cmpd="sng">
          <a:solidFill>
            <a:schemeClr val="accent4">
              <a:lumMod val="20000"/>
              <a:lumOff val="8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solidFill>
                <a:schemeClr val="tx1"/>
              </a:solidFill>
              <a:latin typeface="+mj-lt"/>
            </a:rPr>
            <a:t>2062</a:t>
          </a:r>
        </a:p>
      </xdr:txBody>
    </xdr:sp>
    <xdr:clientData/>
  </xdr:twoCellAnchor>
  <xdr:twoCellAnchor>
    <xdr:from>
      <xdr:col>12</xdr:col>
      <xdr:colOff>360947</xdr:colOff>
      <xdr:row>3</xdr:row>
      <xdr:rowOff>8021</xdr:rowOff>
    </xdr:from>
    <xdr:to>
      <xdr:col>16</xdr:col>
      <xdr:colOff>112293</xdr:colOff>
      <xdr:row>8</xdr:row>
      <xdr:rowOff>139797</xdr:rowOff>
    </xdr:to>
    <xdr:sp macro="" textlink="">
      <xdr:nvSpPr>
        <xdr:cNvPr id="20" name="Rectangle 19">
          <a:extLst>
            <a:ext uri="{FF2B5EF4-FFF2-40B4-BE49-F238E27FC236}">
              <a16:creationId xmlns:a16="http://schemas.microsoft.com/office/drawing/2014/main" id="{17BAD0A2-E21F-4009-B727-04AC9D37E528}"/>
            </a:ext>
          </a:extLst>
        </xdr:cNvPr>
        <xdr:cNvSpPr/>
      </xdr:nvSpPr>
      <xdr:spPr>
        <a:xfrm>
          <a:off x="5847347" y="513347"/>
          <a:ext cx="2189746" cy="1054197"/>
        </a:xfrm>
        <a:prstGeom prst="rect">
          <a:avLst/>
        </a:prstGeom>
        <a:solidFill>
          <a:schemeClr val="accent4">
            <a:lumMod val="20000"/>
            <a:lumOff val="80000"/>
          </a:schemeClr>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0">
            <a:ln>
              <a:noFill/>
            </a:ln>
            <a:solidFill>
              <a:schemeClr val="accent4"/>
            </a:solidFill>
            <a:latin typeface="+mj-lt"/>
          </a:endParaRPr>
        </a:p>
      </xdr:txBody>
    </xdr:sp>
    <xdr:clientData/>
  </xdr:twoCellAnchor>
  <xdr:twoCellAnchor>
    <xdr:from>
      <xdr:col>12</xdr:col>
      <xdr:colOff>393028</xdr:colOff>
      <xdr:row>3</xdr:row>
      <xdr:rowOff>19483</xdr:rowOff>
    </xdr:from>
    <xdr:to>
      <xdr:col>16</xdr:col>
      <xdr:colOff>88228</xdr:colOff>
      <xdr:row>5</xdr:row>
      <xdr:rowOff>139798</xdr:rowOff>
    </xdr:to>
    <xdr:sp macro="" textlink="">
      <xdr:nvSpPr>
        <xdr:cNvPr id="21" name="TextBox 20">
          <a:extLst>
            <a:ext uri="{FF2B5EF4-FFF2-40B4-BE49-F238E27FC236}">
              <a16:creationId xmlns:a16="http://schemas.microsoft.com/office/drawing/2014/main" id="{E8B96462-18DC-4B55-834C-BE547E0A2EF4}"/>
            </a:ext>
          </a:extLst>
        </xdr:cNvPr>
        <xdr:cNvSpPr txBox="1"/>
      </xdr:nvSpPr>
      <xdr:spPr>
        <a:xfrm>
          <a:off x="5879428" y="524809"/>
          <a:ext cx="2133600" cy="489284"/>
        </a:xfrm>
        <a:prstGeom prst="rect">
          <a:avLst/>
        </a:prstGeom>
        <a:solidFill>
          <a:schemeClr val="accent4">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b="1" cap="none" spc="0">
              <a:ln w="0"/>
              <a:solidFill>
                <a:sysClr val="windowText" lastClr="000000"/>
              </a:solidFill>
              <a:effectLst>
                <a:outerShdw blurRad="38100" dist="19050" dir="2700000" algn="tl" rotWithShape="0">
                  <a:schemeClr val="dk1">
                    <a:alpha val="40000"/>
                  </a:schemeClr>
                </a:outerShdw>
              </a:effectLst>
              <a:latin typeface="+mj-lt"/>
            </a:rPr>
            <a:t>Total Defect Count</a:t>
          </a:r>
        </a:p>
      </xdr:txBody>
    </xdr:sp>
    <xdr:clientData/>
  </xdr:twoCellAnchor>
  <xdr:twoCellAnchor>
    <xdr:from>
      <xdr:col>13</xdr:col>
      <xdr:colOff>288754</xdr:colOff>
      <xdr:row>5</xdr:row>
      <xdr:rowOff>51564</xdr:rowOff>
    </xdr:from>
    <xdr:to>
      <xdr:col>15</xdr:col>
      <xdr:colOff>473238</xdr:colOff>
      <xdr:row>7</xdr:row>
      <xdr:rowOff>83648</xdr:rowOff>
    </xdr:to>
    <xdr:sp macro="" textlink="">
      <xdr:nvSpPr>
        <xdr:cNvPr id="22" name="TextBox 21">
          <a:extLst>
            <a:ext uri="{FF2B5EF4-FFF2-40B4-BE49-F238E27FC236}">
              <a16:creationId xmlns:a16="http://schemas.microsoft.com/office/drawing/2014/main" id="{E09B9428-3F97-4890-AF4B-108A7CBFB374}"/>
            </a:ext>
          </a:extLst>
        </xdr:cNvPr>
        <xdr:cNvSpPr txBox="1"/>
      </xdr:nvSpPr>
      <xdr:spPr>
        <a:xfrm>
          <a:off x="6384754" y="925859"/>
          <a:ext cx="1403684" cy="401052"/>
        </a:xfrm>
        <a:prstGeom prst="rect">
          <a:avLst/>
        </a:prstGeom>
        <a:solidFill>
          <a:schemeClr val="accent4">
            <a:lumMod val="20000"/>
            <a:lumOff val="80000"/>
          </a:schemeClr>
        </a:solidFill>
        <a:ln w="9525" cmpd="sng">
          <a:solidFill>
            <a:schemeClr val="accent4">
              <a:lumMod val="20000"/>
              <a:lumOff val="8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solidFill>
                <a:schemeClr val="tx1"/>
              </a:solidFill>
              <a:latin typeface="+mj-lt"/>
            </a:rPr>
            <a:t>20455</a:t>
          </a:r>
        </a:p>
      </xdr:txBody>
    </xdr:sp>
    <xdr:clientData/>
  </xdr:twoCellAnchor>
  <xdr:twoCellAnchor>
    <xdr:from>
      <xdr:col>16</xdr:col>
      <xdr:colOff>320842</xdr:colOff>
      <xdr:row>3</xdr:row>
      <xdr:rowOff>16043</xdr:rowOff>
    </xdr:from>
    <xdr:to>
      <xdr:col>20</xdr:col>
      <xdr:colOff>497305</xdr:colOff>
      <xdr:row>8</xdr:row>
      <xdr:rowOff>134471</xdr:rowOff>
    </xdr:to>
    <xdr:sp macro="" textlink="">
      <xdr:nvSpPr>
        <xdr:cNvPr id="25" name="Rectangle 24">
          <a:extLst>
            <a:ext uri="{FF2B5EF4-FFF2-40B4-BE49-F238E27FC236}">
              <a16:creationId xmlns:a16="http://schemas.microsoft.com/office/drawing/2014/main" id="{3F50F364-015C-4C79-89A2-C79237741756}"/>
            </a:ext>
          </a:extLst>
        </xdr:cNvPr>
        <xdr:cNvSpPr/>
      </xdr:nvSpPr>
      <xdr:spPr>
        <a:xfrm>
          <a:off x="8245642" y="697361"/>
          <a:ext cx="2614863" cy="1014898"/>
        </a:xfrm>
        <a:prstGeom prst="rect">
          <a:avLst/>
        </a:prstGeom>
        <a:solidFill>
          <a:schemeClr val="accent4">
            <a:lumMod val="20000"/>
            <a:lumOff val="80000"/>
          </a:schemeClr>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0">
            <a:ln>
              <a:noFill/>
            </a:ln>
            <a:solidFill>
              <a:schemeClr val="accent4"/>
            </a:solidFill>
            <a:latin typeface="+mj-lt"/>
          </a:endParaRPr>
        </a:p>
      </xdr:txBody>
    </xdr:sp>
    <xdr:clientData/>
  </xdr:twoCellAnchor>
  <xdr:twoCellAnchor>
    <xdr:from>
      <xdr:col>17</xdr:col>
      <xdr:colOff>601576</xdr:colOff>
      <xdr:row>5</xdr:row>
      <xdr:rowOff>59586</xdr:rowOff>
    </xdr:from>
    <xdr:to>
      <xdr:col>20</xdr:col>
      <xdr:colOff>176460</xdr:colOff>
      <xdr:row>7</xdr:row>
      <xdr:rowOff>91670</xdr:rowOff>
    </xdr:to>
    <xdr:sp macro="" textlink="">
      <xdr:nvSpPr>
        <xdr:cNvPr id="30" name="TextBox 29">
          <a:extLst>
            <a:ext uri="{FF2B5EF4-FFF2-40B4-BE49-F238E27FC236}">
              <a16:creationId xmlns:a16="http://schemas.microsoft.com/office/drawing/2014/main" id="{7DB9B590-8BF4-47A6-B118-A8AEB8609B6B}"/>
            </a:ext>
          </a:extLst>
        </xdr:cNvPr>
        <xdr:cNvSpPr txBox="1"/>
      </xdr:nvSpPr>
      <xdr:spPr>
        <a:xfrm>
          <a:off x="9135976" y="933881"/>
          <a:ext cx="1403684" cy="401052"/>
        </a:xfrm>
        <a:prstGeom prst="rect">
          <a:avLst/>
        </a:prstGeom>
        <a:solidFill>
          <a:schemeClr val="accent4">
            <a:lumMod val="20000"/>
            <a:lumOff val="80000"/>
          </a:schemeClr>
        </a:solidFill>
        <a:ln w="9525" cmpd="sng">
          <a:solidFill>
            <a:schemeClr val="accent4">
              <a:lumMod val="20000"/>
              <a:lumOff val="8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solidFill>
                <a:schemeClr val="tx1"/>
              </a:solidFill>
              <a:latin typeface="+mj-lt"/>
            </a:rPr>
            <a:t>20455</a:t>
          </a:r>
        </a:p>
      </xdr:txBody>
    </xdr:sp>
    <xdr:clientData/>
  </xdr:twoCellAnchor>
  <xdr:twoCellAnchor>
    <xdr:from>
      <xdr:col>16</xdr:col>
      <xdr:colOff>352926</xdr:colOff>
      <xdr:row>3</xdr:row>
      <xdr:rowOff>16042</xdr:rowOff>
    </xdr:from>
    <xdr:to>
      <xdr:col>20</xdr:col>
      <xdr:colOff>492125</xdr:colOff>
      <xdr:row>5</xdr:row>
      <xdr:rowOff>136357</xdr:rowOff>
    </xdr:to>
    <xdr:sp macro="" textlink="">
      <xdr:nvSpPr>
        <xdr:cNvPr id="32" name="TextBox 31">
          <a:extLst>
            <a:ext uri="{FF2B5EF4-FFF2-40B4-BE49-F238E27FC236}">
              <a16:creationId xmlns:a16="http://schemas.microsoft.com/office/drawing/2014/main" id="{23CEFA59-41D6-4270-A150-E0351B146234}"/>
            </a:ext>
          </a:extLst>
        </xdr:cNvPr>
        <xdr:cNvSpPr txBox="1"/>
      </xdr:nvSpPr>
      <xdr:spPr>
        <a:xfrm>
          <a:off x="9671551" y="698667"/>
          <a:ext cx="2583949" cy="485440"/>
        </a:xfrm>
        <a:prstGeom prst="rect">
          <a:avLst/>
        </a:prstGeom>
        <a:solidFill>
          <a:schemeClr val="accent4">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b="1" cap="none" spc="0">
              <a:ln w="0"/>
              <a:solidFill>
                <a:sysClr val="windowText" lastClr="000000"/>
              </a:solidFill>
              <a:effectLst>
                <a:outerShdw blurRad="38100" dist="19050" dir="2700000" algn="tl" rotWithShape="0">
                  <a:schemeClr val="dk1">
                    <a:alpha val="40000"/>
                  </a:schemeClr>
                </a:outerShdw>
              </a:effectLst>
              <a:latin typeface="+mj-lt"/>
            </a:rPr>
            <a:t>Total Downtime Hours</a:t>
          </a:r>
        </a:p>
      </xdr:txBody>
    </xdr:sp>
    <xdr:clientData/>
  </xdr:twoCellAnchor>
  <xdr:twoCellAnchor>
    <xdr:from>
      <xdr:col>21</xdr:col>
      <xdr:colOff>144379</xdr:colOff>
      <xdr:row>3</xdr:row>
      <xdr:rowOff>64171</xdr:rowOff>
    </xdr:from>
    <xdr:to>
      <xdr:col>23</xdr:col>
      <xdr:colOff>519953</xdr:colOff>
      <xdr:row>8</xdr:row>
      <xdr:rowOff>64170</xdr:rowOff>
    </xdr:to>
    <xdr:sp macro="" textlink="">
      <xdr:nvSpPr>
        <xdr:cNvPr id="33" name="Rectangle 32">
          <a:extLst>
            <a:ext uri="{FF2B5EF4-FFF2-40B4-BE49-F238E27FC236}">
              <a16:creationId xmlns:a16="http://schemas.microsoft.com/office/drawing/2014/main" id="{B94678FA-E657-4E84-A65B-41E1C6BF2752}"/>
            </a:ext>
          </a:extLst>
        </xdr:cNvPr>
        <xdr:cNvSpPr/>
      </xdr:nvSpPr>
      <xdr:spPr>
        <a:xfrm>
          <a:off x="11117179" y="745489"/>
          <a:ext cx="1594774" cy="896469"/>
        </a:xfrm>
        <a:prstGeom prst="rect">
          <a:avLst/>
        </a:prstGeom>
        <a:solidFill>
          <a:schemeClr val="accent4">
            <a:lumMod val="20000"/>
            <a:lumOff val="8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0">
            <a:ln>
              <a:noFill/>
            </a:ln>
            <a:solidFill>
              <a:schemeClr val="accent4"/>
            </a:solidFill>
            <a:latin typeface="+mj-lt"/>
          </a:endParaRPr>
        </a:p>
      </xdr:txBody>
    </xdr:sp>
    <xdr:clientData/>
  </xdr:twoCellAnchor>
  <xdr:twoCellAnchor>
    <xdr:from>
      <xdr:col>21</xdr:col>
      <xdr:colOff>96253</xdr:colOff>
      <xdr:row>3</xdr:row>
      <xdr:rowOff>16042</xdr:rowOff>
    </xdr:from>
    <xdr:to>
      <xdr:col>23</xdr:col>
      <xdr:colOff>529389</xdr:colOff>
      <xdr:row>8</xdr:row>
      <xdr:rowOff>152400</xdr:rowOff>
    </xdr:to>
    <xdr:sp macro="" textlink="">
      <xdr:nvSpPr>
        <xdr:cNvPr id="35" name="TextBox 34">
          <a:extLst>
            <a:ext uri="{FF2B5EF4-FFF2-40B4-BE49-F238E27FC236}">
              <a16:creationId xmlns:a16="http://schemas.microsoft.com/office/drawing/2014/main" id="{06E9827B-58DA-41BF-936F-FD723A82637A}"/>
            </a:ext>
          </a:extLst>
        </xdr:cNvPr>
        <xdr:cNvSpPr txBox="1"/>
      </xdr:nvSpPr>
      <xdr:spPr>
        <a:xfrm>
          <a:off x="11069053" y="697360"/>
          <a:ext cx="1652336" cy="1032828"/>
        </a:xfrm>
        <a:prstGeom prst="rect">
          <a:avLst/>
        </a:prstGeom>
        <a:solidFill>
          <a:schemeClr val="accent4">
            <a:lumMod val="20000"/>
            <a:lumOff val="80000"/>
          </a:schemeClr>
        </a:solidFill>
        <a:ln w="9525" cmpd="sng">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b="1" cap="none" spc="0">
              <a:ln w="0"/>
              <a:solidFill>
                <a:sysClr val="windowText" lastClr="000000"/>
              </a:solidFill>
              <a:effectLst>
                <a:outerShdw blurRad="38100" dist="19050" dir="2700000" algn="tl" rotWithShape="0">
                  <a:schemeClr val="dk1">
                    <a:alpha val="40000"/>
                  </a:schemeClr>
                </a:outerShdw>
              </a:effectLst>
              <a:latin typeface="+mj-lt"/>
            </a:rPr>
            <a:t>Last</a:t>
          </a:r>
          <a:r>
            <a:rPr lang="en-IN" sz="1800" b="1" cap="none" spc="0" baseline="0">
              <a:ln w="0"/>
              <a:solidFill>
                <a:sysClr val="windowText" lastClr="000000"/>
              </a:solidFill>
              <a:effectLst>
                <a:outerShdw blurRad="38100" dist="19050" dir="2700000" algn="tl" rotWithShape="0">
                  <a:schemeClr val="dk1">
                    <a:alpha val="40000"/>
                  </a:schemeClr>
                </a:outerShdw>
              </a:effectLst>
              <a:latin typeface="+mj-lt"/>
            </a:rPr>
            <a:t> Data Refreshed on-</a:t>
          </a:r>
          <a:r>
            <a:rPr lang="en-IN" sz="1800" b="1" cap="none" spc="0" baseline="0">
              <a:ln w="0"/>
              <a:solidFill>
                <a:srgbClr val="7030A0"/>
              </a:solidFill>
              <a:effectLst>
                <a:outerShdw blurRad="38100" dist="19050" dir="2700000" algn="tl" rotWithShape="0">
                  <a:schemeClr val="dk1">
                    <a:alpha val="40000"/>
                  </a:schemeClr>
                </a:outerShdw>
              </a:effectLst>
              <a:latin typeface="+mj-lt"/>
            </a:rPr>
            <a:t>27 Dec 25</a:t>
          </a:r>
          <a:endParaRPr lang="en-IN" sz="1800" b="1" cap="none" spc="0">
            <a:ln w="0"/>
            <a:solidFill>
              <a:srgbClr val="7030A0"/>
            </a:solidFill>
            <a:effectLst>
              <a:outerShdw blurRad="38100" dist="19050" dir="2700000" algn="tl" rotWithShape="0">
                <a:schemeClr val="dk1">
                  <a:alpha val="40000"/>
                </a:schemeClr>
              </a:outerShdw>
            </a:effectLst>
            <a:latin typeface="+mj-lt"/>
          </a:endParaRPr>
        </a:p>
      </xdr:txBody>
    </xdr:sp>
    <xdr:clientData/>
  </xdr:twoCellAnchor>
  <xdr:twoCellAnchor>
    <xdr:from>
      <xdr:col>3</xdr:col>
      <xdr:colOff>214647</xdr:colOff>
      <xdr:row>24</xdr:row>
      <xdr:rowOff>107323</xdr:rowOff>
    </xdr:from>
    <xdr:to>
      <xdr:col>10</xdr:col>
      <xdr:colOff>375632</xdr:colOff>
      <xdr:row>38</xdr:row>
      <xdr:rowOff>107323</xdr:rowOff>
    </xdr:to>
    <xdr:graphicFrame macro="">
      <xdr:nvGraphicFramePr>
        <xdr:cNvPr id="6" name="Chart 5">
          <a:extLst>
            <a:ext uri="{FF2B5EF4-FFF2-40B4-BE49-F238E27FC236}">
              <a16:creationId xmlns:a16="http://schemas.microsoft.com/office/drawing/2014/main" id="{B71A97F6-4F22-42D1-9E51-B725988F09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arti Pandey" refreshedDate="46017.39882962963" createdVersion="8" refreshedVersion="8" minRefreshableVersion="3" recordCount="800" xr:uid="{2EFBDC1F-8578-4F63-B39C-C927C7848BA4}">
  <cacheSource type="worksheet">
    <worksheetSource ref="A2:K802" sheet="Manufecturing Dataset"/>
  </cacheSource>
  <cacheFields count="11">
    <cacheField name="Product Name" numFmtId="0">
      <sharedItems/>
    </cacheField>
    <cacheField name="Production Date" numFmtId="0">
      <sharedItems/>
    </cacheField>
    <cacheField name="Quantity Produced" numFmtId="0">
      <sharedItems containsSemiMixedTypes="0" containsString="0" containsNumber="1" containsInteger="1" minValue="500" maxValue="2000"/>
    </cacheField>
    <cacheField name="Shift" numFmtId="0">
      <sharedItems/>
    </cacheField>
    <cacheField name="Machine Used" numFmtId="0">
      <sharedItems/>
    </cacheField>
    <cacheField name="Defect Type" numFmtId="0">
      <sharedItems/>
    </cacheField>
    <cacheField name="Defect Count" numFmtId="0">
      <sharedItems containsSemiMixedTypes="0" containsString="0" containsNumber="1" containsInteger="1" minValue="0" maxValue="50"/>
    </cacheField>
    <cacheField name="Downtime Hours" numFmtId="0">
      <sharedItems containsSemiMixedTypes="0" containsString="0" containsNumber="1" containsInteger="1" minValue="0" maxValue="10"/>
    </cacheField>
    <cacheField name="Supplier" numFmtId="0">
      <sharedItems/>
    </cacheField>
    <cacheField name="Delivery Delay Days" numFmtId="0">
      <sharedItems containsSemiMixedTypes="0" containsString="0" containsNumber="1" containsInteger="1" minValue="0" maxValue="5"/>
    </cacheField>
    <cacheField name="Monthname" numFmtId="0">
      <sharedItems count="12">
        <s v="Mar"/>
        <s v="Oct"/>
        <s v="Jan"/>
        <s v="Jun"/>
        <s v="Jul"/>
        <s v="Sep"/>
        <s v="Apr"/>
        <s v="Aug"/>
        <s v="Nov"/>
        <s v="May"/>
        <s v="Dec"/>
        <s v="Feb"/>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arti Pandey" refreshedDate="46017.398830324077" createdVersion="8" refreshedVersion="8" minRefreshableVersion="3" recordCount="800" xr:uid="{9A822014-86A1-4CF3-B658-E41FEC7A6322}">
  <cacheSource type="worksheet">
    <worksheetSource ref="A2:J802" sheet="Manufecturing Dataset"/>
  </cacheSource>
  <cacheFields count="10">
    <cacheField name="Product Name" numFmtId="0">
      <sharedItems/>
    </cacheField>
    <cacheField name="Production Date" numFmtId="0">
      <sharedItems/>
    </cacheField>
    <cacheField name="Quantity Produced" numFmtId="0">
      <sharedItems containsSemiMixedTypes="0" containsString="0" containsNumber="1" containsInteger="1" minValue="500" maxValue="2000"/>
    </cacheField>
    <cacheField name="Shift" numFmtId="0">
      <sharedItems/>
    </cacheField>
    <cacheField name="Machine Used" numFmtId="0">
      <sharedItems/>
    </cacheField>
    <cacheField name="Defect Type" numFmtId="0">
      <sharedItems/>
    </cacheField>
    <cacheField name="Defect Count" numFmtId="0">
      <sharedItems containsSemiMixedTypes="0" containsString="0" containsNumber="1" containsInteger="1" minValue="0" maxValue="50"/>
    </cacheField>
    <cacheField name="Downtime Hours" numFmtId="0">
      <sharedItems containsSemiMixedTypes="0" containsString="0" containsNumber="1" containsInteger="1" minValue="0" maxValue="10"/>
    </cacheField>
    <cacheField name="Supplier" numFmtId="0">
      <sharedItems/>
    </cacheField>
    <cacheField name="Delivery Delay Days" numFmtId="0">
      <sharedItems containsSemiMixedTypes="0" containsString="0" containsNumber="1" containsInteger="1" minValue="0" maxValue="5"/>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arti Pandey" refreshedDate="46017.398830787039" createdVersion="8" refreshedVersion="8" minRefreshableVersion="3" recordCount="800" xr:uid="{DBB502B9-FF54-4867-8297-F2ABF9F02B61}">
  <cacheSource type="worksheet">
    <worksheetSource ref="A2:J802" sheet="Manufecturing Dataset"/>
  </cacheSource>
  <cacheFields count="10">
    <cacheField name="Product Name" numFmtId="0">
      <sharedItems count="4">
        <s v="Aluminum Sheets"/>
        <s v="Copper Pipes"/>
        <s v="Steel Bolts"/>
        <s v="Plastic Gears"/>
      </sharedItems>
    </cacheField>
    <cacheField name="Production Date" numFmtId="0">
      <sharedItems/>
    </cacheField>
    <cacheField name="Quantity Produced" numFmtId="0">
      <sharedItems containsSemiMixedTypes="0" containsString="0" containsNumber="1" containsInteger="1" minValue="500" maxValue="2000"/>
    </cacheField>
    <cacheField name="Shift" numFmtId="0">
      <sharedItems count="3">
        <s v="Shift 1"/>
        <s v="Shift 2"/>
        <s v="Shift 3"/>
      </sharedItems>
    </cacheField>
    <cacheField name="Machine Used" numFmtId="0">
      <sharedItems count="4">
        <s v="Drill"/>
        <s v="Lathe"/>
        <s v="Cutter"/>
        <s v="Press"/>
      </sharedItems>
    </cacheField>
    <cacheField name="Defect Type" numFmtId="0">
      <sharedItems count="4">
        <s v="Painting"/>
        <s v="Cutting"/>
        <s v="Assembly"/>
        <s v="Welding"/>
      </sharedItems>
    </cacheField>
    <cacheField name="Defect Count" numFmtId="0">
      <sharedItems containsSemiMixedTypes="0" containsString="0" containsNumber="1" containsInteger="1" minValue="0" maxValue="50"/>
    </cacheField>
    <cacheField name="Downtime Hours" numFmtId="0">
      <sharedItems containsSemiMixedTypes="0" containsString="0" containsNumber="1" containsInteger="1" minValue="0" maxValue="10"/>
    </cacheField>
    <cacheField name="Supplier" numFmtId="0">
      <sharedItems count="4">
        <s v="Alpha Metals"/>
        <s v="Bright Supplies"/>
        <s v="QuickParts"/>
        <s v="Metro Steel"/>
      </sharedItems>
    </cacheField>
    <cacheField name="Delivery Delay Days" numFmtId="0">
      <sharedItems containsSemiMixedTypes="0" containsString="0" containsNumber="1" containsInteger="1" minValue="0" maxValue="5"/>
    </cacheField>
  </cacheFields>
  <extLst>
    <ext xmlns:x14="http://schemas.microsoft.com/office/spreadsheetml/2009/9/main" uri="{725AE2AE-9491-48be-B2B4-4EB974FC3084}">
      <x14:pivotCacheDefinition pivotCacheId="23033857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00">
  <r>
    <s v="Aluminum Sheets"/>
    <s v="2024-03-19"/>
    <n v="1372"/>
    <s v="Shift 1"/>
    <s v="Drill"/>
    <s v="Painting"/>
    <n v="8"/>
    <n v="8"/>
    <s v="Alpha Metals"/>
    <n v="1"/>
    <x v="0"/>
  </r>
  <r>
    <s v="Copper Pipes"/>
    <s v="2024-10-22"/>
    <n v="1796"/>
    <s v="Shift 2"/>
    <s v="Lathe"/>
    <s v="Cutting"/>
    <n v="8"/>
    <n v="9"/>
    <s v="Bright Supplies"/>
    <n v="4"/>
    <x v="1"/>
  </r>
  <r>
    <s v="Steel Bolts"/>
    <s v="2024-01-04"/>
    <n v="561"/>
    <s v="Shift 1"/>
    <s v="Drill"/>
    <s v="Painting"/>
    <n v="3"/>
    <n v="8"/>
    <s v="Bright Supplies"/>
    <n v="3"/>
    <x v="2"/>
  </r>
  <r>
    <s v="Aluminum Sheets"/>
    <s v="2024-06-20"/>
    <n v="1095"/>
    <s v="Shift 1"/>
    <s v="Cutter"/>
    <s v="Assembly"/>
    <n v="34"/>
    <n v="9"/>
    <s v="Alpha Metals"/>
    <n v="1"/>
    <x v="3"/>
  </r>
  <r>
    <s v="Aluminum Sheets"/>
    <s v="2024-07-09"/>
    <n v="1228"/>
    <s v="Shift 3"/>
    <s v="Press"/>
    <s v="Assembly"/>
    <n v="16"/>
    <n v="10"/>
    <s v="QuickParts"/>
    <n v="0"/>
    <x v="4"/>
  </r>
  <r>
    <s v="Copper Pipes"/>
    <s v="2024-09-08"/>
    <n v="1865"/>
    <s v="Shift 1"/>
    <s v="Cutter"/>
    <s v="Welding"/>
    <n v="33"/>
    <n v="2"/>
    <s v="Alpha Metals"/>
    <n v="0"/>
    <x v="5"/>
  </r>
  <r>
    <s v="Steel Bolts"/>
    <s v="2024-04-26"/>
    <n v="896"/>
    <s v="Shift 2"/>
    <s v="Lathe"/>
    <s v="Cutting"/>
    <n v="23"/>
    <n v="10"/>
    <s v="Alpha Metals"/>
    <n v="3"/>
    <x v="6"/>
  </r>
  <r>
    <s v="Steel Bolts"/>
    <s v="2024-04-24"/>
    <n v="1198"/>
    <s v="Shift 2"/>
    <s v="Cutter"/>
    <s v="Welding"/>
    <n v="31"/>
    <n v="4"/>
    <s v="Bright Supplies"/>
    <n v="3"/>
    <x v="6"/>
  </r>
  <r>
    <s v="Aluminum Sheets"/>
    <s v="2024-07-27"/>
    <n v="1542"/>
    <s v="Shift 3"/>
    <s v="Press"/>
    <s v="Assembly"/>
    <n v="0"/>
    <n v="7"/>
    <s v="Alpha Metals"/>
    <n v="5"/>
    <x v="4"/>
  </r>
  <r>
    <s v="Plastic Gears"/>
    <s v="2024-03-26"/>
    <n v="676"/>
    <s v="Shift 2"/>
    <s v="Cutter"/>
    <s v="Painting"/>
    <n v="7"/>
    <n v="7"/>
    <s v="QuickParts"/>
    <n v="2"/>
    <x v="0"/>
  </r>
  <r>
    <s v="Aluminum Sheets"/>
    <s v="2024-08-14"/>
    <n v="895"/>
    <s v="Shift 2"/>
    <s v="Lathe"/>
    <s v="Welding"/>
    <n v="44"/>
    <n v="3"/>
    <s v="Alpha Metals"/>
    <n v="1"/>
    <x v="7"/>
  </r>
  <r>
    <s v="Aluminum Sheets"/>
    <s v="2024-11-30"/>
    <n v="944"/>
    <s v="Shift 2"/>
    <s v="Drill"/>
    <s v="Welding"/>
    <n v="22"/>
    <n v="10"/>
    <s v="QuickParts"/>
    <n v="3"/>
    <x v="8"/>
  </r>
  <r>
    <s v="Aluminum Sheets"/>
    <s v="2024-08-14"/>
    <n v="1756"/>
    <s v="Shift 1"/>
    <s v="Cutter"/>
    <s v="Painting"/>
    <n v="46"/>
    <n v="10"/>
    <s v="QuickParts"/>
    <n v="2"/>
    <x v="7"/>
  </r>
  <r>
    <s v="Aluminum Sheets"/>
    <s v="2024-06-22"/>
    <n v="575"/>
    <s v="Shift 1"/>
    <s v="Lathe"/>
    <s v="Welding"/>
    <n v="39"/>
    <n v="0"/>
    <s v="Bright Supplies"/>
    <n v="5"/>
    <x v="3"/>
  </r>
  <r>
    <s v="Copper Pipes"/>
    <s v="2024-03-26"/>
    <n v="764"/>
    <s v="Shift 2"/>
    <s v="Lathe"/>
    <s v="Painting"/>
    <n v="11"/>
    <n v="0"/>
    <s v="Metro Steel"/>
    <n v="2"/>
    <x v="0"/>
  </r>
  <r>
    <s v="Steel Bolts"/>
    <s v="2024-08-21"/>
    <n v="954"/>
    <s v="Shift 3"/>
    <s v="Press"/>
    <s v="Cutting"/>
    <n v="11"/>
    <n v="3"/>
    <s v="Metro Steel"/>
    <n v="3"/>
    <x v="7"/>
  </r>
  <r>
    <s v="Copper Pipes"/>
    <s v="2024-06-13"/>
    <n v="1217"/>
    <s v="Shift 1"/>
    <s v="Press"/>
    <s v="Painting"/>
    <n v="45"/>
    <n v="5"/>
    <s v="Bright Supplies"/>
    <n v="0"/>
    <x v="3"/>
  </r>
  <r>
    <s v="Copper Pipes"/>
    <s v="2024-08-20"/>
    <n v="1234"/>
    <s v="Shift 3"/>
    <s v="Cutter"/>
    <s v="Cutting"/>
    <n v="46"/>
    <n v="7"/>
    <s v="Alpha Metals"/>
    <n v="1"/>
    <x v="7"/>
  </r>
  <r>
    <s v="Copper Pipes"/>
    <s v="2024-07-28"/>
    <n v="1907"/>
    <s v="Shift 2"/>
    <s v="Drill"/>
    <s v="Painting"/>
    <n v="14"/>
    <n v="5"/>
    <s v="Bright Supplies"/>
    <n v="1"/>
    <x v="4"/>
  </r>
  <r>
    <s v="Aluminum Sheets"/>
    <s v="2024-09-30"/>
    <n v="1350"/>
    <s v="Shift 2"/>
    <s v="Lathe"/>
    <s v="Assembly"/>
    <n v="40"/>
    <n v="8"/>
    <s v="QuickParts"/>
    <n v="0"/>
    <x v="5"/>
  </r>
  <r>
    <s v="Plastic Gears"/>
    <s v="2024-05-15"/>
    <n v="1890"/>
    <s v="Shift 1"/>
    <s v="Cutter"/>
    <s v="Assembly"/>
    <n v="18"/>
    <n v="8"/>
    <s v="Metro Steel"/>
    <n v="3"/>
    <x v="9"/>
  </r>
  <r>
    <s v="Steel Bolts"/>
    <s v="2024-04-24"/>
    <n v="643"/>
    <s v="Shift 2"/>
    <s v="Lathe"/>
    <s v="Cutting"/>
    <n v="25"/>
    <n v="1"/>
    <s v="Bright Supplies"/>
    <n v="1"/>
    <x v="6"/>
  </r>
  <r>
    <s v="Plastic Gears"/>
    <s v="2024-06-13"/>
    <n v="1384"/>
    <s v="Shift 1"/>
    <s v="Lathe"/>
    <s v="Cutting"/>
    <n v="28"/>
    <n v="9"/>
    <s v="Alpha Metals"/>
    <n v="3"/>
    <x v="3"/>
  </r>
  <r>
    <s v="Copper Pipes"/>
    <s v="2024-12-02"/>
    <n v="1592"/>
    <s v="Shift 2"/>
    <s v="Drill"/>
    <s v="Assembly"/>
    <n v="21"/>
    <n v="0"/>
    <s v="Bright Supplies"/>
    <n v="5"/>
    <x v="10"/>
  </r>
  <r>
    <s v="Copper Pipes"/>
    <s v="2024-04-23"/>
    <n v="1622"/>
    <s v="Shift 2"/>
    <s v="Drill"/>
    <s v="Cutting"/>
    <n v="39"/>
    <n v="1"/>
    <s v="Metro Steel"/>
    <n v="3"/>
    <x v="6"/>
  </r>
  <r>
    <s v="Plastic Gears"/>
    <s v="2024-08-14"/>
    <n v="895"/>
    <s v="Shift 1"/>
    <s v="Cutter"/>
    <s v="Painting"/>
    <n v="20"/>
    <n v="4"/>
    <s v="Bright Supplies"/>
    <n v="2"/>
    <x v="7"/>
  </r>
  <r>
    <s v="Plastic Gears"/>
    <s v="2024-05-17"/>
    <n v="1548"/>
    <s v="Shift 1"/>
    <s v="Drill"/>
    <s v="Painting"/>
    <n v="50"/>
    <n v="3"/>
    <s v="Bright Supplies"/>
    <n v="0"/>
    <x v="9"/>
  </r>
  <r>
    <s v="Plastic Gears"/>
    <s v="2024-01-02"/>
    <n v="1447"/>
    <s v="Shift 1"/>
    <s v="Drill"/>
    <s v="Assembly"/>
    <n v="37"/>
    <n v="3"/>
    <s v="Metro Steel"/>
    <n v="3"/>
    <x v="2"/>
  </r>
  <r>
    <s v="Copper Pipes"/>
    <s v="2024-08-29"/>
    <n v="1390"/>
    <s v="Shift 2"/>
    <s v="Cutter"/>
    <s v="Welding"/>
    <n v="19"/>
    <n v="8"/>
    <s v="QuickParts"/>
    <n v="5"/>
    <x v="7"/>
  </r>
  <r>
    <s v="Copper Pipes"/>
    <s v="2024-05-01"/>
    <n v="1992"/>
    <s v="Shift 2"/>
    <s v="Drill"/>
    <s v="Painting"/>
    <n v="28"/>
    <n v="10"/>
    <s v="QuickParts"/>
    <n v="4"/>
    <x v="9"/>
  </r>
  <r>
    <s v="Steel Bolts"/>
    <s v="2024-09-13"/>
    <n v="1674"/>
    <s v="Shift 3"/>
    <s v="Press"/>
    <s v="Cutting"/>
    <n v="50"/>
    <n v="7"/>
    <s v="Metro Steel"/>
    <n v="0"/>
    <x v="5"/>
  </r>
  <r>
    <s v="Steel Bolts"/>
    <s v="2024-09-25"/>
    <n v="1667"/>
    <s v="Shift 1"/>
    <s v="Lathe"/>
    <s v="Welding"/>
    <n v="3"/>
    <n v="5"/>
    <s v="Bright Supplies"/>
    <n v="1"/>
    <x v="5"/>
  </r>
  <r>
    <s v="Copper Pipes"/>
    <s v="2024-12-29"/>
    <n v="1068"/>
    <s v="Shift 2"/>
    <s v="Lathe"/>
    <s v="Welding"/>
    <n v="6"/>
    <n v="0"/>
    <s v="Metro Steel"/>
    <n v="2"/>
    <x v="10"/>
  </r>
  <r>
    <s v="Plastic Gears"/>
    <s v="2024-07-24"/>
    <n v="1562"/>
    <s v="Shift 2"/>
    <s v="Lathe"/>
    <s v="Painting"/>
    <n v="27"/>
    <n v="1"/>
    <s v="QuickParts"/>
    <n v="1"/>
    <x v="4"/>
  </r>
  <r>
    <s v="Plastic Gears"/>
    <s v="2024-07-08"/>
    <n v="608"/>
    <s v="Shift 1"/>
    <s v="Lathe"/>
    <s v="Painting"/>
    <n v="27"/>
    <n v="5"/>
    <s v="Alpha Metals"/>
    <n v="5"/>
    <x v="4"/>
  </r>
  <r>
    <s v="Steel Bolts"/>
    <s v="2024-12-21"/>
    <n v="1565"/>
    <s v="Shift 3"/>
    <s v="Cutter"/>
    <s v="Welding"/>
    <n v="3"/>
    <n v="10"/>
    <s v="Bright Supplies"/>
    <n v="5"/>
    <x v="10"/>
  </r>
  <r>
    <s v="Copper Pipes"/>
    <s v="2024-03-04"/>
    <n v="1709"/>
    <s v="Shift 1"/>
    <s v="Lathe"/>
    <s v="Welding"/>
    <n v="21"/>
    <n v="1"/>
    <s v="QuickParts"/>
    <n v="1"/>
    <x v="0"/>
  </r>
  <r>
    <s v="Steel Bolts"/>
    <s v="2024-08-28"/>
    <n v="1434"/>
    <s v="Shift 3"/>
    <s v="Lathe"/>
    <s v="Assembly"/>
    <n v="11"/>
    <n v="9"/>
    <s v="Bright Supplies"/>
    <n v="0"/>
    <x v="7"/>
  </r>
  <r>
    <s v="Steel Bolts"/>
    <s v="2024-12-12"/>
    <n v="897"/>
    <s v="Shift 2"/>
    <s v="Lathe"/>
    <s v="Cutting"/>
    <n v="44"/>
    <n v="4"/>
    <s v="Metro Steel"/>
    <n v="1"/>
    <x v="10"/>
  </r>
  <r>
    <s v="Aluminum Sheets"/>
    <s v="2024-10-15"/>
    <n v="1746"/>
    <s v="Shift 3"/>
    <s v="Lathe"/>
    <s v="Assembly"/>
    <n v="2"/>
    <n v="4"/>
    <s v="Alpha Metals"/>
    <n v="3"/>
    <x v="1"/>
  </r>
  <r>
    <s v="Aluminum Sheets"/>
    <s v="2024-04-16"/>
    <n v="1133"/>
    <s v="Shift 2"/>
    <s v="Press"/>
    <s v="Painting"/>
    <n v="21"/>
    <n v="5"/>
    <s v="Metro Steel"/>
    <n v="1"/>
    <x v="6"/>
  </r>
  <r>
    <s v="Aluminum Sheets"/>
    <s v="2024-02-20"/>
    <n v="1656"/>
    <s v="Shift 1"/>
    <s v="Lathe"/>
    <s v="Assembly"/>
    <n v="43"/>
    <n v="5"/>
    <s v="Alpha Metals"/>
    <n v="2"/>
    <x v="11"/>
  </r>
  <r>
    <s v="Plastic Gears"/>
    <s v="2024-03-29"/>
    <n v="1686"/>
    <s v="Shift 1"/>
    <s v="Press"/>
    <s v="Assembly"/>
    <n v="1"/>
    <n v="5"/>
    <s v="Bright Supplies"/>
    <n v="2"/>
    <x v="0"/>
  </r>
  <r>
    <s v="Copper Pipes"/>
    <s v="2024-03-26"/>
    <n v="1738"/>
    <s v="Shift 1"/>
    <s v="Cutter"/>
    <s v="Assembly"/>
    <n v="23"/>
    <n v="1"/>
    <s v="Bright Supplies"/>
    <n v="4"/>
    <x v="0"/>
  </r>
  <r>
    <s v="Copper Pipes"/>
    <s v="2024-01-02"/>
    <n v="1232"/>
    <s v="Shift 3"/>
    <s v="Drill"/>
    <s v="Assembly"/>
    <n v="33"/>
    <n v="9"/>
    <s v="Metro Steel"/>
    <n v="2"/>
    <x v="2"/>
  </r>
  <r>
    <s v="Copper Pipes"/>
    <s v="2024-09-14"/>
    <n v="734"/>
    <s v="Shift 2"/>
    <s v="Lathe"/>
    <s v="Cutting"/>
    <n v="26"/>
    <n v="2"/>
    <s v="Alpha Metals"/>
    <n v="1"/>
    <x v="5"/>
  </r>
  <r>
    <s v="Copper Pipes"/>
    <s v="2024-08-20"/>
    <n v="1157"/>
    <s v="Shift 1"/>
    <s v="Drill"/>
    <s v="Cutting"/>
    <n v="40"/>
    <n v="5"/>
    <s v="Alpha Metals"/>
    <n v="2"/>
    <x v="7"/>
  </r>
  <r>
    <s v="Aluminum Sheets"/>
    <s v="2024-08-24"/>
    <n v="1250"/>
    <s v="Shift 1"/>
    <s v="Drill"/>
    <s v="Welding"/>
    <n v="0"/>
    <n v="7"/>
    <s v="Bright Supplies"/>
    <n v="0"/>
    <x v="7"/>
  </r>
  <r>
    <s v="Plastic Gears"/>
    <s v="2024-05-07"/>
    <n v="1087"/>
    <s v="Shift 2"/>
    <s v="Cutter"/>
    <s v="Painting"/>
    <n v="7"/>
    <n v="10"/>
    <s v="Metro Steel"/>
    <n v="2"/>
    <x v="9"/>
  </r>
  <r>
    <s v="Plastic Gears"/>
    <s v="2024-02-01"/>
    <n v="1532"/>
    <s v="Shift 1"/>
    <s v="Drill"/>
    <s v="Assembly"/>
    <n v="22"/>
    <n v="0"/>
    <s v="Alpha Metals"/>
    <n v="3"/>
    <x v="11"/>
  </r>
  <r>
    <s v="Aluminum Sheets"/>
    <s v="2024-12-29"/>
    <n v="1597"/>
    <s v="Shift 2"/>
    <s v="Press"/>
    <s v="Welding"/>
    <n v="37"/>
    <n v="0"/>
    <s v="Bright Supplies"/>
    <n v="0"/>
    <x v="10"/>
  </r>
  <r>
    <s v="Plastic Gears"/>
    <s v="2024-09-08"/>
    <n v="1453"/>
    <s v="Shift 2"/>
    <s v="Drill"/>
    <s v="Welding"/>
    <n v="5"/>
    <n v="10"/>
    <s v="QuickParts"/>
    <n v="4"/>
    <x v="5"/>
  </r>
  <r>
    <s v="Aluminum Sheets"/>
    <s v="2024-08-16"/>
    <n v="991"/>
    <s v="Shift 2"/>
    <s v="Drill"/>
    <s v="Welding"/>
    <n v="21"/>
    <n v="1"/>
    <s v="Metro Steel"/>
    <n v="3"/>
    <x v="7"/>
  </r>
  <r>
    <s v="Copper Pipes"/>
    <s v="2024-10-22"/>
    <n v="1412"/>
    <s v="Shift 2"/>
    <s v="Drill"/>
    <s v="Cutting"/>
    <n v="24"/>
    <n v="10"/>
    <s v="QuickParts"/>
    <n v="1"/>
    <x v="1"/>
  </r>
  <r>
    <s v="Aluminum Sheets"/>
    <s v="2024-03-31"/>
    <n v="1776"/>
    <s v="Shift 2"/>
    <s v="Lathe"/>
    <s v="Assembly"/>
    <n v="17"/>
    <n v="5"/>
    <s v="Metro Steel"/>
    <n v="1"/>
    <x v="0"/>
  </r>
  <r>
    <s v="Copper Pipes"/>
    <s v="2024-12-04"/>
    <n v="1753"/>
    <s v="Shift 3"/>
    <s v="Lathe"/>
    <s v="Assembly"/>
    <n v="16"/>
    <n v="8"/>
    <s v="Bright Supplies"/>
    <n v="1"/>
    <x v="10"/>
  </r>
  <r>
    <s v="Copper Pipes"/>
    <s v="2024-03-17"/>
    <n v="1697"/>
    <s v="Shift 1"/>
    <s v="Press"/>
    <s v="Painting"/>
    <n v="11"/>
    <n v="3"/>
    <s v="Alpha Metals"/>
    <n v="3"/>
    <x v="0"/>
  </r>
  <r>
    <s v="Steel Bolts"/>
    <s v="2024-08-13"/>
    <n v="1691"/>
    <s v="Shift 3"/>
    <s v="Press"/>
    <s v="Assembly"/>
    <n v="5"/>
    <n v="2"/>
    <s v="Alpha Metals"/>
    <n v="3"/>
    <x v="7"/>
  </r>
  <r>
    <s v="Aluminum Sheets"/>
    <s v="2024-02-06"/>
    <n v="669"/>
    <s v="Shift 1"/>
    <s v="Lathe"/>
    <s v="Assembly"/>
    <n v="25"/>
    <n v="7"/>
    <s v="Alpha Metals"/>
    <n v="3"/>
    <x v="11"/>
  </r>
  <r>
    <s v="Steel Bolts"/>
    <s v="2024-05-12"/>
    <n v="1916"/>
    <s v="Shift 3"/>
    <s v="Press"/>
    <s v="Welding"/>
    <n v="26"/>
    <n v="10"/>
    <s v="Metro Steel"/>
    <n v="0"/>
    <x v="9"/>
  </r>
  <r>
    <s v="Aluminum Sheets"/>
    <s v="2024-01-24"/>
    <n v="1445"/>
    <s v="Shift 2"/>
    <s v="Lathe"/>
    <s v="Painting"/>
    <n v="7"/>
    <n v="9"/>
    <s v="Bright Supplies"/>
    <n v="5"/>
    <x v="2"/>
  </r>
  <r>
    <s v="Aluminum Sheets"/>
    <s v="2024-06-18"/>
    <n v="1294"/>
    <s v="Shift 1"/>
    <s v="Cutter"/>
    <s v="Assembly"/>
    <n v="18"/>
    <n v="8"/>
    <s v="QuickParts"/>
    <n v="0"/>
    <x v="3"/>
  </r>
  <r>
    <s v="Steel Bolts"/>
    <s v="2024-01-22"/>
    <n v="1133"/>
    <s v="Shift 1"/>
    <s v="Drill"/>
    <s v="Cutting"/>
    <n v="41"/>
    <n v="10"/>
    <s v="Bright Supplies"/>
    <n v="1"/>
    <x v="2"/>
  </r>
  <r>
    <s v="Steel Bolts"/>
    <s v="2024-11-17"/>
    <n v="1717"/>
    <s v="Shift 3"/>
    <s v="Drill"/>
    <s v="Assembly"/>
    <n v="0"/>
    <n v="4"/>
    <s v="QuickParts"/>
    <n v="5"/>
    <x v="8"/>
  </r>
  <r>
    <s v="Aluminum Sheets"/>
    <s v="2024-08-31"/>
    <n v="528"/>
    <s v="Shift 3"/>
    <s v="Press"/>
    <s v="Welding"/>
    <n v="28"/>
    <n v="8"/>
    <s v="Metro Steel"/>
    <n v="2"/>
    <x v="7"/>
  </r>
  <r>
    <s v="Plastic Gears"/>
    <s v="2024-12-22"/>
    <n v="1688"/>
    <s v="Shift 1"/>
    <s v="Lathe"/>
    <s v="Cutting"/>
    <n v="44"/>
    <n v="1"/>
    <s v="Metro Steel"/>
    <n v="1"/>
    <x v="10"/>
  </r>
  <r>
    <s v="Copper Pipes"/>
    <s v="2024-03-29"/>
    <n v="1945"/>
    <s v="Shift 3"/>
    <s v="Lathe"/>
    <s v="Welding"/>
    <n v="48"/>
    <n v="2"/>
    <s v="QuickParts"/>
    <n v="4"/>
    <x v="0"/>
  </r>
  <r>
    <s v="Steel Bolts"/>
    <s v="2024-02-11"/>
    <n v="838"/>
    <s v="Shift 3"/>
    <s v="Press"/>
    <s v="Assembly"/>
    <n v="34"/>
    <n v="6"/>
    <s v="QuickParts"/>
    <n v="0"/>
    <x v="11"/>
  </r>
  <r>
    <s v="Copper Pipes"/>
    <s v="2024-02-19"/>
    <n v="1888"/>
    <s v="Shift 3"/>
    <s v="Lathe"/>
    <s v="Cutting"/>
    <n v="39"/>
    <n v="6"/>
    <s v="QuickParts"/>
    <n v="3"/>
    <x v="11"/>
  </r>
  <r>
    <s v="Plastic Gears"/>
    <s v="2024-01-29"/>
    <n v="1865"/>
    <s v="Shift 2"/>
    <s v="Cutter"/>
    <s v="Painting"/>
    <n v="13"/>
    <n v="5"/>
    <s v="Bright Supplies"/>
    <n v="0"/>
    <x v="2"/>
  </r>
  <r>
    <s v="Plastic Gears"/>
    <s v="2024-03-09"/>
    <n v="999"/>
    <s v="Shift 2"/>
    <s v="Drill"/>
    <s v="Painting"/>
    <n v="34"/>
    <n v="5"/>
    <s v="QuickParts"/>
    <n v="3"/>
    <x v="0"/>
  </r>
  <r>
    <s v="Plastic Gears"/>
    <s v="2024-04-30"/>
    <n v="1010"/>
    <s v="Shift 3"/>
    <s v="Press"/>
    <s v="Cutting"/>
    <n v="47"/>
    <n v="1"/>
    <s v="Metro Steel"/>
    <n v="5"/>
    <x v="6"/>
  </r>
  <r>
    <s v="Steel Bolts"/>
    <s v="2024-11-25"/>
    <n v="1850"/>
    <s v="Shift 3"/>
    <s v="Press"/>
    <s v="Cutting"/>
    <n v="44"/>
    <n v="9"/>
    <s v="Metro Steel"/>
    <n v="4"/>
    <x v="8"/>
  </r>
  <r>
    <s v="Plastic Gears"/>
    <s v="2024-09-13"/>
    <n v="716"/>
    <s v="Shift 2"/>
    <s v="Lathe"/>
    <s v="Welding"/>
    <n v="19"/>
    <n v="5"/>
    <s v="Alpha Metals"/>
    <n v="5"/>
    <x v="5"/>
  </r>
  <r>
    <s v="Steel Bolts"/>
    <s v="2024-03-05"/>
    <n v="1824"/>
    <s v="Shift 2"/>
    <s v="Press"/>
    <s v="Cutting"/>
    <n v="48"/>
    <n v="3"/>
    <s v="QuickParts"/>
    <n v="4"/>
    <x v="0"/>
  </r>
  <r>
    <s v="Plastic Gears"/>
    <s v="2024-07-02"/>
    <n v="1655"/>
    <s v="Shift 1"/>
    <s v="Cutter"/>
    <s v="Welding"/>
    <n v="12"/>
    <n v="2"/>
    <s v="Bright Supplies"/>
    <n v="0"/>
    <x v="4"/>
  </r>
  <r>
    <s v="Copper Pipes"/>
    <s v="2024-06-20"/>
    <n v="1593"/>
    <s v="Shift 1"/>
    <s v="Lathe"/>
    <s v="Assembly"/>
    <n v="37"/>
    <n v="10"/>
    <s v="Bright Supplies"/>
    <n v="3"/>
    <x v="3"/>
  </r>
  <r>
    <s v="Copper Pipes"/>
    <s v="2024-03-20"/>
    <n v="1775"/>
    <s v="Shift 2"/>
    <s v="Lathe"/>
    <s v="Welding"/>
    <n v="48"/>
    <n v="1"/>
    <s v="Bright Supplies"/>
    <n v="5"/>
    <x v="0"/>
  </r>
  <r>
    <s v="Aluminum Sheets"/>
    <s v="2024-01-11"/>
    <n v="1938"/>
    <s v="Shift 3"/>
    <s v="Lathe"/>
    <s v="Cutting"/>
    <n v="45"/>
    <n v="0"/>
    <s v="Alpha Metals"/>
    <n v="4"/>
    <x v="2"/>
  </r>
  <r>
    <s v="Copper Pipes"/>
    <s v="2024-09-28"/>
    <n v="944"/>
    <s v="Shift 3"/>
    <s v="Lathe"/>
    <s v="Cutting"/>
    <n v="48"/>
    <n v="10"/>
    <s v="Metro Steel"/>
    <n v="1"/>
    <x v="5"/>
  </r>
  <r>
    <s v="Aluminum Sheets"/>
    <s v="2024-04-24"/>
    <n v="1375"/>
    <s v="Shift 3"/>
    <s v="Cutter"/>
    <s v="Assembly"/>
    <n v="7"/>
    <n v="10"/>
    <s v="Bright Supplies"/>
    <n v="1"/>
    <x v="6"/>
  </r>
  <r>
    <s v="Copper Pipes"/>
    <s v="2024-03-08"/>
    <n v="1705"/>
    <s v="Shift 3"/>
    <s v="Lathe"/>
    <s v="Cutting"/>
    <n v="42"/>
    <n v="4"/>
    <s v="Metro Steel"/>
    <n v="5"/>
    <x v="0"/>
  </r>
  <r>
    <s v="Steel Bolts"/>
    <s v="2024-01-13"/>
    <n v="666"/>
    <s v="Shift 1"/>
    <s v="Press"/>
    <s v="Cutting"/>
    <n v="19"/>
    <n v="1"/>
    <s v="Alpha Metals"/>
    <n v="3"/>
    <x v="2"/>
  </r>
  <r>
    <s v="Copper Pipes"/>
    <s v="2024-01-10"/>
    <n v="590"/>
    <s v="Shift 2"/>
    <s v="Cutter"/>
    <s v="Painting"/>
    <n v="32"/>
    <n v="1"/>
    <s v="QuickParts"/>
    <n v="5"/>
    <x v="2"/>
  </r>
  <r>
    <s v="Aluminum Sheets"/>
    <s v="2024-01-25"/>
    <n v="1213"/>
    <s v="Shift 3"/>
    <s v="Drill"/>
    <s v="Painting"/>
    <n v="25"/>
    <n v="6"/>
    <s v="QuickParts"/>
    <n v="0"/>
    <x v="2"/>
  </r>
  <r>
    <s v="Aluminum Sheets"/>
    <s v="2024-05-01"/>
    <n v="538"/>
    <s v="Shift 1"/>
    <s v="Drill"/>
    <s v="Assembly"/>
    <n v="38"/>
    <n v="7"/>
    <s v="QuickParts"/>
    <n v="4"/>
    <x v="9"/>
  </r>
  <r>
    <s v="Plastic Gears"/>
    <s v="2024-02-25"/>
    <n v="1649"/>
    <s v="Shift 3"/>
    <s v="Press"/>
    <s v="Welding"/>
    <n v="20"/>
    <n v="9"/>
    <s v="Bright Supplies"/>
    <n v="0"/>
    <x v="11"/>
  </r>
  <r>
    <s v="Steel Bolts"/>
    <s v="2024-04-10"/>
    <n v="1974"/>
    <s v="Shift 2"/>
    <s v="Press"/>
    <s v="Painting"/>
    <n v="48"/>
    <n v="7"/>
    <s v="QuickParts"/>
    <n v="1"/>
    <x v="6"/>
  </r>
  <r>
    <s v="Copper Pipes"/>
    <s v="2024-09-21"/>
    <n v="672"/>
    <s v="Shift 1"/>
    <s v="Cutter"/>
    <s v="Welding"/>
    <n v="41"/>
    <n v="3"/>
    <s v="Bright Supplies"/>
    <n v="4"/>
    <x v="5"/>
  </r>
  <r>
    <s v="Plastic Gears"/>
    <s v="2024-01-28"/>
    <n v="1152"/>
    <s v="Shift 2"/>
    <s v="Drill"/>
    <s v="Cutting"/>
    <n v="42"/>
    <n v="0"/>
    <s v="Alpha Metals"/>
    <n v="5"/>
    <x v="2"/>
  </r>
  <r>
    <s v="Copper Pipes"/>
    <s v="2024-04-15"/>
    <n v="1253"/>
    <s v="Shift 2"/>
    <s v="Drill"/>
    <s v="Painting"/>
    <n v="40"/>
    <n v="10"/>
    <s v="Alpha Metals"/>
    <n v="0"/>
    <x v="6"/>
  </r>
  <r>
    <s v="Copper Pipes"/>
    <s v="2024-10-13"/>
    <n v="1743"/>
    <s v="Shift 1"/>
    <s v="Drill"/>
    <s v="Assembly"/>
    <n v="8"/>
    <n v="6"/>
    <s v="Bright Supplies"/>
    <n v="2"/>
    <x v="1"/>
  </r>
  <r>
    <s v="Plastic Gears"/>
    <s v="2024-05-29"/>
    <n v="1581"/>
    <s v="Shift 1"/>
    <s v="Drill"/>
    <s v="Assembly"/>
    <n v="23"/>
    <n v="0"/>
    <s v="Metro Steel"/>
    <n v="3"/>
    <x v="9"/>
  </r>
  <r>
    <s v="Plastic Gears"/>
    <s v="2024-02-19"/>
    <n v="975"/>
    <s v="Shift 1"/>
    <s v="Drill"/>
    <s v="Assembly"/>
    <n v="36"/>
    <n v="10"/>
    <s v="QuickParts"/>
    <n v="3"/>
    <x v="11"/>
  </r>
  <r>
    <s v="Plastic Gears"/>
    <s v="2024-11-30"/>
    <n v="955"/>
    <s v="Shift 1"/>
    <s v="Lathe"/>
    <s v="Painting"/>
    <n v="48"/>
    <n v="3"/>
    <s v="QuickParts"/>
    <n v="2"/>
    <x v="8"/>
  </r>
  <r>
    <s v="Plastic Gears"/>
    <s v="2024-08-31"/>
    <n v="1328"/>
    <s v="Shift 1"/>
    <s v="Press"/>
    <s v="Welding"/>
    <n v="40"/>
    <n v="7"/>
    <s v="QuickParts"/>
    <n v="1"/>
    <x v="7"/>
  </r>
  <r>
    <s v="Plastic Gears"/>
    <s v="2024-05-08"/>
    <n v="1394"/>
    <s v="Shift 1"/>
    <s v="Lathe"/>
    <s v="Cutting"/>
    <n v="16"/>
    <n v="1"/>
    <s v="Bright Supplies"/>
    <n v="4"/>
    <x v="9"/>
  </r>
  <r>
    <s v="Copper Pipes"/>
    <s v="2024-04-28"/>
    <n v="1884"/>
    <s v="Shift 1"/>
    <s v="Drill"/>
    <s v="Welding"/>
    <n v="23"/>
    <n v="5"/>
    <s v="Alpha Metals"/>
    <n v="3"/>
    <x v="6"/>
  </r>
  <r>
    <s v="Plastic Gears"/>
    <s v="2024-09-19"/>
    <n v="1524"/>
    <s v="Shift 3"/>
    <s v="Cutter"/>
    <s v="Welding"/>
    <n v="20"/>
    <n v="5"/>
    <s v="QuickParts"/>
    <n v="2"/>
    <x v="5"/>
  </r>
  <r>
    <s v="Steel Bolts"/>
    <s v="2024-03-04"/>
    <n v="886"/>
    <s v="Shift 2"/>
    <s v="Cutter"/>
    <s v="Cutting"/>
    <n v="50"/>
    <n v="8"/>
    <s v="Alpha Metals"/>
    <n v="5"/>
    <x v="0"/>
  </r>
  <r>
    <s v="Aluminum Sheets"/>
    <s v="2024-11-04"/>
    <n v="847"/>
    <s v="Shift 1"/>
    <s v="Drill"/>
    <s v="Cutting"/>
    <n v="38"/>
    <n v="4"/>
    <s v="QuickParts"/>
    <n v="2"/>
    <x v="8"/>
  </r>
  <r>
    <s v="Plastic Gears"/>
    <s v="2024-01-09"/>
    <n v="689"/>
    <s v="Shift 3"/>
    <s v="Drill"/>
    <s v="Painting"/>
    <n v="40"/>
    <n v="9"/>
    <s v="QuickParts"/>
    <n v="1"/>
    <x v="2"/>
  </r>
  <r>
    <s v="Plastic Gears"/>
    <s v="2024-08-09"/>
    <n v="1004"/>
    <s v="Shift 3"/>
    <s v="Cutter"/>
    <s v="Painting"/>
    <n v="38"/>
    <n v="3"/>
    <s v="Bright Supplies"/>
    <n v="1"/>
    <x v="7"/>
  </r>
  <r>
    <s v="Copper Pipes"/>
    <s v="2024-07-31"/>
    <n v="1714"/>
    <s v="Shift 3"/>
    <s v="Lathe"/>
    <s v="Painting"/>
    <n v="12"/>
    <n v="4"/>
    <s v="Metro Steel"/>
    <n v="0"/>
    <x v="4"/>
  </r>
  <r>
    <s v="Plastic Gears"/>
    <s v="2024-01-18"/>
    <n v="1892"/>
    <s v="Shift 2"/>
    <s v="Lathe"/>
    <s v="Painting"/>
    <n v="10"/>
    <n v="9"/>
    <s v="Bright Supplies"/>
    <n v="3"/>
    <x v="2"/>
  </r>
  <r>
    <s v="Plastic Gears"/>
    <s v="2024-01-31"/>
    <n v="1932"/>
    <s v="Shift 1"/>
    <s v="Drill"/>
    <s v="Painting"/>
    <n v="45"/>
    <n v="10"/>
    <s v="QuickParts"/>
    <n v="0"/>
    <x v="2"/>
  </r>
  <r>
    <s v="Plastic Gears"/>
    <s v="2024-09-03"/>
    <n v="1323"/>
    <s v="Shift 3"/>
    <s v="Lathe"/>
    <s v="Cutting"/>
    <n v="18"/>
    <n v="4"/>
    <s v="QuickParts"/>
    <n v="2"/>
    <x v="5"/>
  </r>
  <r>
    <s v="Copper Pipes"/>
    <s v="2024-09-18"/>
    <n v="1428"/>
    <s v="Shift 2"/>
    <s v="Cutter"/>
    <s v="Welding"/>
    <n v="10"/>
    <n v="7"/>
    <s v="Metro Steel"/>
    <n v="4"/>
    <x v="5"/>
  </r>
  <r>
    <s v="Plastic Gears"/>
    <s v="2024-02-01"/>
    <n v="1433"/>
    <s v="Shift 2"/>
    <s v="Lathe"/>
    <s v="Painting"/>
    <n v="12"/>
    <n v="9"/>
    <s v="Alpha Metals"/>
    <n v="4"/>
    <x v="11"/>
  </r>
  <r>
    <s v="Aluminum Sheets"/>
    <s v="2024-06-24"/>
    <n v="1640"/>
    <s v="Shift 2"/>
    <s v="Drill"/>
    <s v="Painting"/>
    <n v="45"/>
    <n v="7"/>
    <s v="Alpha Metals"/>
    <n v="1"/>
    <x v="3"/>
  </r>
  <r>
    <s v="Copper Pipes"/>
    <s v="2024-11-02"/>
    <n v="633"/>
    <s v="Shift 3"/>
    <s v="Cutter"/>
    <s v="Welding"/>
    <n v="44"/>
    <n v="1"/>
    <s v="QuickParts"/>
    <n v="4"/>
    <x v="8"/>
  </r>
  <r>
    <s v="Aluminum Sheets"/>
    <s v="2024-01-31"/>
    <n v="557"/>
    <s v="Shift 1"/>
    <s v="Lathe"/>
    <s v="Painting"/>
    <n v="0"/>
    <n v="6"/>
    <s v="Alpha Metals"/>
    <n v="4"/>
    <x v="2"/>
  </r>
  <r>
    <s v="Copper Pipes"/>
    <s v="2024-04-09"/>
    <n v="1184"/>
    <s v="Shift 3"/>
    <s v="Press"/>
    <s v="Welding"/>
    <n v="39"/>
    <n v="7"/>
    <s v="QuickParts"/>
    <n v="4"/>
    <x v="6"/>
  </r>
  <r>
    <s v="Plastic Gears"/>
    <s v="2024-09-30"/>
    <n v="1171"/>
    <s v="Shift 3"/>
    <s v="Cutter"/>
    <s v="Welding"/>
    <n v="43"/>
    <n v="10"/>
    <s v="Metro Steel"/>
    <n v="2"/>
    <x v="5"/>
  </r>
  <r>
    <s v="Aluminum Sheets"/>
    <s v="2024-10-17"/>
    <n v="672"/>
    <s v="Shift 1"/>
    <s v="Cutter"/>
    <s v="Cutting"/>
    <n v="18"/>
    <n v="5"/>
    <s v="Metro Steel"/>
    <n v="4"/>
    <x v="1"/>
  </r>
  <r>
    <s v="Copper Pipes"/>
    <s v="2024-11-17"/>
    <n v="1314"/>
    <s v="Shift 1"/>
    <s v="Press"/>
    <s v="Assembly"/>
    <n v="11"/>
    <n v="4"/>
    <s v="QuickParts"/>
    <n v="5"/>
    <x v="8"/>
  </r>
  <r>
    <s v="Steel Bolts"/>
    <s v="2024-03-14"/>
    <n v="1672"/>
    <s v="Shift 1"/>
    <s v="Press"/>
    <s v="Cutting"/>
    <n v="7"/>
    <n v="10"/>
    <s v="Metro Steel"/>
    <n v="4"/>
    <x v="0"/>
  </r>
  <r>
    <s v="Plastic Gears"/>
    <s v="2024-09-21"/>
    <n v="579"/>
    <s v="Shift 2"/>
    <s v="Cutter"/>
    <s v="Assembly"/>
    <n v="7"/>
    <n v="8"/>
    <s v="Bright Supplies"/>
    <n v="4"/>
    <x v="5"/>
  </r>
  <r>
    <s v="Copper Pipes"/>
    <s v="2024-02-07"/>
    <n v="1385"/>
    <s v="Shift 1"/>
    <s v="Press"/>
    <s v="Assembly"/>
    <n v="44"/>
    <n v="2"/>
    <s v="Bright Supplies"/>
    <n v="0"/>
    <x v="11"/>
  </r>
  <r>
    <s v="Steel Bolts"/>
    <s v="2024-07-03"/>
    <n v="1736"/>
    <s v="Shift 3"/>
    <s v="Drill"/>
    <s v="Assembly"/>
    <n v="11"/>
    <n v="9"/>
    <s v="Metro Steel"/>
    <n v="2"/>
    <x v="4"/>
  </r>
  <r>
    <s v="Copper Pipes"/>
    <s v="2024-03-23"/>
    <n v="702"/>
    <s v="Shift 1"/>
    <s v="Drill"/>
    <s v="Painting"/>
    <n v="47"/>
    <n v="3"/>
    <s v="QuickParts"/>
    <n v="1"/>
    <x v="0"/>
  </r>
  <r>
    <s v="Steel Bolts"/>
    <s v="2024-05-15"/>
    <n v="1263"/>
    <s v="Shift 3"/>
    <s v="Drill"/>
    <s v="Cutting"/>
    <n v="32"/>
    <n v="8"/>
    <s v="QuickParts"/>
    <n v="0"/>
    <x v="9"/>
  </r>
  <r>
    <s v="Plastic Gears"/>
    <s v="2024-12-23"/>
    <n v="1752"/>
    <s v="Shift 2"/>
    <s v="Cutter"/>
    <s v="Assembly"/>
    <n v="44"/>
    <n v="5"/>
    <s v="Metro Steel"/>
    <n v="3"/>
    <x v="10"/>
  </r>
  <r>
    <s v="Aluminum Sheets"/>
    <s v="2024-10-26"/>
    <n v="1750"/>
    <s v="Shift 3"/>
    <s v="Press"/>
    <s v="Welding"/>
    <n v="25"/>
    <n v="7"/>
    <s v="Alpha Metals"/>
    <n v="2"/>
    <x v="1"/>
  </r>
  <r>
    <s v="Steel Bolts"/>
    <s v="2024-01-03"/>
    <n v="1964"/>
    <s v="Shift 3"/>
    <s v="Press"/>
    <s v="Painting"/>
    <n v="38"/>
    <n v="6"/>
    <s v="Bright Supplies"/>
    <n v="5"/>
    <x v="2"/>
  </r>
  <r>
    <s v="Copper Pipes"/>
    <s v="2024-10-10"/>
    <n v="1925"/>
    <s v="Shift 1"/>
    <s v="Lathe"/>
    <s v="Cutting"/>
    <n v="27"/>
    <n v="10"/>
    <s v="Alpha Metals"/>
    <n v="2"/>
    <x v="1"/>
  </r>
  <r>
    <s v="Plastic Gears"/>
    <s v="2024-05-04"/>
    <n v="546"/>
    <s v="Shift 1"/>
    <s v="Lathe"/>
    <s v="Assembly"/>
    <n v="4"/>
    <n v="1"/>
    <s v="QuickParts"/>
    <n v="3"/>
    <x v="9"/>
  </r>
  <r>
    <s v="Steel Bolts"/>
    <s v="2024-07-06"/>
    <n v="1756"/>
    <s v="Shift 3"/>
    <s v="Press"/>
    <s v="Welding"/>
    <n v="7"/>
    <n v="2"/>
    <s v="QuickParts"/>
    <n v="3"/>
    <x v="4"/>
  </r>
  <r>
    <s v="Copper Pipes"/>
    <s v="2024-05-13"/>
    <n v="1828"/>
    <s v="Shift 1"/>
    <s v="Press"/>
    <s v="Cutting"/>
    <n v="24"/>
    <n v="0"/>
    <s v="Alpha Metals"/>
    <n v="3"/>
    <x v="9"/>
  </r>
  <r>
    <s v="Copper Pipes"/>
    <s v="2024-09-01"/>
    <n v="1666"/>
    <s v="Shift 2"/>
    <s v="Press"/>
    <s v="Cutting"/>
    <n v="26"/>
    <n v="8"/>
    <s v="Metro Steel"/>
    <n v="1"/>
    <x v="5"/>
  </r>
  <r>
    <s v="Copper Pipes"/>
    <s v="2024-10-17"/>
    <n v="1938"/>
    <s v="Shift 2"/>
    <s v="Cutter"/>
    <s v="Painting"/>
    <n v="45"/>
    <n v="6"/>
    <s v="Alpha Metals"/>
    <n v="4"/>
    <x v="1"/>
  </r>
  <r>
    <s v="Steel Bolts"/>
    <s v="2024-10-28"/>
    <n v="1896"/>
    <s v="Shift 1"/>
    <s v="Press"/>
    <s v="Cutting"/>
    <n v="22"/>
    <n v="0"/>
    <s v="Alpha Metals"/>
    <n v="2"/>
    <x v="1"/>
  </r>
  <r>
    <s v="Steel Bolts"/>
    <s v="2024-09-06"/>
    <n v="1782"/>
    <s v="Shift 2"/>
    <s v="Lathe"/>
    <s v="Painting"/>
    <n v="29"/>
    <n v="2"/>
    <s v="Bright Supplies"/>
    <n v="4"/>
    <x v="5"/>
  </r>
  <r>
    <s v="Steel Bolts"/>
    <s v="2024-11-20"/>
    <n v="1155"/>
    <s v="Shift 1"/>
    <s v="Cutter"/>
    <s v="Assembly"/>
    <n v="44"/>
    <n v="3"/>
    <s v="Bright Supplies"/>
    <n v="4"/>
    <x v="8"/>
  </r>
  <r>
    <s v="Aluminum Sheets"/>
    <s v="2024-11-27"/>
    <n v="970"/>
    <s v="Shift 3"/>
    <s v="Press"/>
    <s v="Painting"/>
    <n v="46"/>
    <n v="3"/>
    <s v="Alpha Metals"/>
    <n v="5"/>
    <x v="8"/>
  </r>
  <r>
    <s v="Steel Bolts"/>
    <s v="2024-08-28"/>
    <n v="1470"/>
    <s v="Shift 3"/>
    <s v="Lathe"/>
    <s v="Welding"/>
    <n v="22"/>
    <n v="4"/>
    <s v="Alpha Metals"/>
    <n v="3"/>
    <x v="7"/>
  </r>
  <r>
    <s v="Steel Bolts"/>
    <s v="2024-01-09"/>
    <n v="1535"/>
    <s v="Shift 2"/>
    <s v="Cutter"/>
    <s v="Painting"/>
    <n v="48"/>
    <n v="2"/>
    <s v="QuickParts"/>
    <n v="1"/>
    <x v="2"/>
  </r>
  <r>
    <s v="Steel Bolts"/>
    <s v="2024-11-28"/>
    <n v="1853"/>
    <s v="Shift 1"/>
    <s v="Press"/>
    <s v="Welding"/>
    <n v="46"/>
    <n v="2"/>
    <s v="Bright Supplies"/>
    <n v="5"/>
    <x v="8"/>
  </r>
  <r>
    <s v="Aluminum Sheets"/>
    <s v="2024-01-13"/>
    <n v="1235"/>
    <s v="Shift 1"/>
    <s v="Press"/>
    <s v="Painting"/>
    <n v="19"/>
    <n v="0"/>
    <s v="Bright Supplies"/>
    <n v="0"/>
    <x v="2"/>
  </r>
  <r>
    <s v="Steel Bolts"/>
    <s v="2024-06-15"/>
    <n v="1283"/>
    <s v="Shift 2"/>
    <s v="Press"/>
    <s v="Cutting"/>
    <n v="17"/>
    <n v="6"/>
    <s v="QuickParts"/>
    <n v="1"/>
    <x v="3"/>
  </r>
  <r>
    <s v="Copper Pipes"/>
    <s v="2024-09-01"/>
    <n v="1467"/>
    <s v="Shift 3"/>
    <s v="Cutter"/>
    <s v="Assembly"/>
    <n v="17"/>
    <n v="10"/>
    <s v="Metro Steel"/>
    <n v="4"/>
    <x v="5"/>
  </r>
  <r>
    <s v="Steel Bolts"/>
    <s v="2024-03-28"/>
    <n v="857"/>
    <s v="Shift 2"/>
    <s v="Lathe"/>
    <s v="Welding"/>
    <n v="1"/>
    <n v="9"/>
    <s v="Bright Supplies"/>
    <n v="1"/>
    <x v="0"/>
  </r>
  <r>
    <s v="Copper Pipes"/>
    <s v="2024-03-21"/>
    <n v="1471"/>
    <s v="Shift 3"/>
    <s v="Lathe"/>
    <s v="Painting"/>
    <n v="3"/>
    <n v="0"/>
    <s v="Bright Supplies"/>
    <n v="3"/>
    <x v="0"/>
  </r>
  <r>
    <s v="Copper Pipes"/>
    <s v="2024-02-09"/>
    <n v="1931"/>
    <s v="Shift 1"/>
    <s v="Drill"/>
    <s v="Painting"/>
    <n v="29"/>
    <n v="1"/>
    <s v="Metro Steel"/>
    <n v="0"/>
    <x v="11"/>
  </r>
  <r>
    <s v="Copper Pipes"/>
    <s v="2024-04-04"/>
    <n v="1167"/>
    <s v="Shift 3"/>
    <s v="Press"/>
    <s v="Painting"/>
    <n v="32"/>
    <n v="3"/>
    <s v="Bright Supplies"/>
    <n v="3"/>
    <x v="6"/>
  </r>
  <r>
    <s v="Aluminum Sheets"/>
    <s v="2024-06-27"/>
    <n v="872"/>
    <s v="Shift 2"/>
    <s v="Drill"/>
    <s v="Cutting"/>
    <n v="35"/>
    <n v="3"/>
    <s v="Bright Supplies"/>
    <n v="0"/>
    <x v="3"/>
  </r>
  <r>
    <s v="Aluminum Sheets"/>
    <s v="2024-11-18"/>
    <n v="1531"/>
    <s v="Shift 1"/>
    <s v="Drill"/>
    <s v="Cutting"/>
    <n v="17"/>
    <n v="4"/>
    <s v="Metro Steel"/>
    <n v="5"/>
    <x v="8"/>
  </r>
  <r>
    <s v="Aluminum Sheets"/>
    <s v="2024-04-19"/>
    <n v="1645"/>
    <s v="Shift 2"/>
    <s v="Lathe"/>
    <s v="Welding"/>
    <n v="36"/>
    <n v="10"/>
    <s v="Metro Steel"/>
    <n v="4"/>
    <x v="6"/>
  </r>
  <r>
    <s v="Steel Bolts"/>
    <s v="2024-12-07"/>
    <n v="1871"/>
    <s v="Shift 2"/>
    <s v="Cutter"/>
    <s v="Welding"/>
    <n v="18"/>
    <n v="1"/>
    <s v="Alpha Metals"/>
    <n v="0"/>
    <x v="10"/>
  </r>
  <r>
    <s v="Copper Pipes"/>
    <s v="2024-02-12"/>
    <n v="1175"/>
    <s v="Shift 3"/>
    <s v="Cutter"/>
    <s v="Cutting"/>
    <n v="46"/>
    <n v="3"/>
    <s v="QuickParts"/>
    <n v="0"/>
    <x v="11"/>
  </r>
  <r>
    <s v="Aluminum Sheets"/>
    <s v="2024-03-12"/>
    <n v="589"/>
    <s v="Shift 2"/>
    <s v="Lathe"/>
    <s v="Welding"/>
    <n v="27"/>
    <n v="0"/>
    <s v="QuickParts"/>
    <n v="0"/>
    <x v="0"/>
  </r>
  <r>
    <s v="Aluminum Sheets"/>
    <s v="2024-01-05"/>
    <n v="1197"/>
    <s v="Shift 3"/>
    <s v="Cutter"/>
    <s v="Assembly"/>
    <n v="39"/>
    <n v="1"/>
    <s v="Metro Steel"/>
    <n v="1"/>
    <x v="2"/>
  </r>
  <r>
    <s v="Steel Bolts"/>
    <s v="2024-08-25"/>
    <n v="1839"/>
    <s v="Shift 1"/>
    <s v="Drill"/>
    <s v="Assembly"/>
    <n v="19"/>
    <n v="0"/>
    <s v="Metro Steel"/>
    <n v="5"/>
    <x v="7"/>
  </r>
  <r>
    <s v="Aluminum Sheets"/>
    <s v="2024-02-25"/>
    <n v="1701"/>
    <s v="Shift 3"/>
    <s v="Press"/>
    <s v="Cutting"/>
    <n v="48"/>
    <n v="9"/>
    <s v="Bright Supplies"/>
    <n v="1"/>
    <x v="11"/>
  </r>
  <r>
    <s v="Steel Bolts"/>
    <s v="2024-04-04"/>
    <n v="1039"/>
    <s v="Shift 1"/>
    <s v="Lathe"/>
    <s v="Welding"/>
    <n v="32"/>
    <n v="9"/>
    <s v="Alpha Metals"/>
    <n v="4"/>
    <x v="6"/>
  </r>
  <r>
    <s v="Plastic Gears"/>
    <s v="2024-01-20"/>
    <n v="1231"/>
    <s v="Shift 3"/>
    <s v="Press"/>
    <s v="Painting"/>
    <n v="11"/>
    <n v="3"/>
    <s v="Alpha Metals"/>
    <n v="0"/>
    <x v="2"/>
  </r>
  <r>
    <s v="Aluminum Sheets"/>
    <s v="2024-10-27"/>
    <n v="1368"/>
    <s v="Shift 2"/>
    <s v="Cutter"/>
    <s v="Assembly"/>
    <n v="50"/>
    <n v="3"/>
    <s v="Metro Steel"/>
    <n v="5"/>
    <x v="1"/>
  </r>
  <r>
    <s v="Plastic Gears"/>
    <s v="2024-11-11"/>
    <n v="540"/>
    <s v="Shift 3"/>
    <s v="Press"/>
    <s v="Cutting"/>
    <n v="14"/>
    <n v="6"/>
    <s v="Bright Supplies"/>
    <n v="5"/>
    <x v="8"/>
  </r>
  <r>
    <s v="Steel Bolts"/>
    <s v="2024-10-04"/>
    <n v="1239"/>
    <s v="Shift 3"/>
    <s v="Cutter"/>
    <s v="Welding"/>
    <n v="40"/>
    <n v="9"/>
    <s v="Bright Supplies"/>
    <n v="2"/>
    <x v="1"/>
  </r>
  <r>
    <s v="Copper Pipes"/>
    <s v="2024-06-11"/>
    <n v="1001"/>
    <s v="Shift 1"/>
    <s v="Cutter"/>
    <s v="Cutting"/>
    <n v="38"/>
    <n v="10"/>
    <s v="QuickParts"/>
    <n v="4"/>
    <x v="3"/>
  </r>
  <r>
    <s v="Aluminum Sheets"/>
    <s v="2024-07-19"/>
    <n v="1458"/>
    <s v="Shift 2"/>
    <s v="Drill"/>
    <s v="Painting"/>
    <n v="1"/>
    <n v="10"/>
    <s v="QuickParts"/>
    <n v="5"/>
    <x v="4"/>
  </r>
  <r>
    <s v="Steel Bolts"/>
    <s v="2024-07-22"/>
    <n v="1668"/>
    <s v="Shift 3"/>
    <s v="Cutter"/>
    <s v="Assembly"/>
    <n v="28"/>
    <n v="8"/>
    <s v="Bright Supplies"/>
    <n v="0"/>
    <x v="4"/>
  </r>
  <r>
    <s v="Copper Pipes"/>
    <s v="2024-04-15"/>
    <n v="1724"/>
    <s v="Shift 2"/>
    <s v="Drill"/>
    <s v="Cutting"/>
    <n v="40"/>
    <n v="8"/>
    <s v="QuickParts"/>
    <n v="0"/>
    <x v="6"/>
  </r>
  <r>
    <s v="Copper Pipes"/>
    <s v="2024-07-25"/>
    <n v="1428"/>
    <s v="Shift 3"/>
    <s v="Drill"/>
    <s v="Cutting"/>
    <n v="9"/>
    <n v="4"/>
    <s v="Metro Steel"/>
    <n v="5"/>
    <x v="4"/>
  </r>
  <r>
    <s v="Plastic Gears"/>
    <s v="2024-10-12"/>
    <n v="960"/>
    <s v="Shift 3"/>
    <s v="Drill"/>
    <s v="Cutting"/>
    <n v="1"/>
    <n v="9"/>
    <s v="Bright Supplies"/>
    <n v="1"/>
    <x v="1"/>
  </r>
  <r>
    <s v="Steel Bolts"/>
    <s v="2024-03-14"/>
    <n v="1231"/>
    <s v="Shift 2"/>
    <s v="Lathe"/>
    <s v="Painting"/>
    <n v="50"/>
    <n v="0"/>
    <s v="QuickParts"/>
    <n v="4"/>
    <x v="0"/>
  </r>
  <r>
    <s v="Copper Pipes"/>
    <s v="2024-08-26"/>
    <n v="1251"/>
    <s v="Shift 3"/>
    <s v="Lathe"/>
    <s v="Cutting"/>
    <n v="10"/>
    <n v="0"/>
    <s v="Alpha Metals"/>
    <n v="0"/>
    <x v="7"/>
  </r>
  <r>
    <s v="Aluminum Sheets"/>
    <s v="2024-08-13"/>
    <n v="1424"/>
    <s v="Shift 2"/>
    <s v="Cutter"/>
    <s v="Painting"/>
    <n v="12"/>
    <n v="5"/>
    <s v="Bright Supplies"/>
    <n v="5"/>
    <x v="7"/>
  </r>
  <r>
    <s v="Aluminum Sheets"/>
    <s v="2024-06-18"/>
    <n v="1408"/>
    <s v="Shift 3"/>
    <s v="Drill"/>
    <s v="Painting"/>
    <n v="9"/>
    <n v="1"/>
    <s v="Bright Supplies"/>
    <n v="0"/>
    <x v="3"/>
  </r>
  <r>
    <s v="Plastic Gears"/>
    <s v="2024-07-12"/>
    <n v="1776"/>
    <s v="Shift 1"/>
    <s v="Lathe"/>
    <s v="Painting"/>
    <n v="13"/>
    <n v="7"/>
    <s v="Alpha Metals"/>
    <n v="5"/>
    <x v="4"/>
  </r>
  <r>
    <s v="Copper Pipes"/>
    <s v="2024-11-13"/>
    <n v="889"/>
    <s v="Shift 2"/>
    <s v="Drill"/>
    <s v="Assembly"/>
    <n v="17"/>
    <n v="8"/>
    <s v="Metro Steel"/>
    <n v="4"/>
    <x v="8"/>
  </r>
  <r>
    <s v="Steel Bolts"/>
    <s v="2024-05-10"/>
    <n v="1382"/>
    <s v="Shift 3"/>
    <s v="Press"/>
    <s v="Assembly"/>
    <n v="50"/>
    <n v="3"/>
    <s v="Alpha Metals"/>
    <n v="5"/>
    <x v="9"/>
  </r>
  <r>
    <s v="Aluminum Sheets"/>
    <s v="2024-03-16"/>
    <n v="755"/>
    <s v="Shift 3"/>
    <s v="Press"/>
    <s v="Cutting"/>
    <n v="8"/>
    <n v="4"/>
    <s v="Bright Supplies"/>
    <n v="2"/>
    <x v="0"/>
  </r>
  <r>
    <s v="Copper Pipes"/>
    <s v="2024-05-23"/>
    <n v="1208"/>
    <s v="Shift 1"/>
    <s v="Press"/>
    <s v="Cutting"/>
    <n v="38"/>
    <n v="10"/>
    <s v="Metro Steel"/>
    <n v="5"/>
    <x v="9"/>
  </r>
  <r>
    <s v="Copper Pipes"/>
    <s v="2024-08-11"/>
    <n v="949"/>
    <s v="Shift 2"/>
    <s v="Cutter"/>
    <s v="Assembly"/>
    <n v="27"/>
    <n v="7"/>
    <s v="QuickParts"/>
    <n v="5"/>
    <x v="7"/>
  </r>
  <r>
    <s v="Plastic Gears"/>
    <s v="2024-07-09"/>
    <n v="509"/>
    <s v="Shift 3"/>
    <s v="Drill"/>
    <s v="Welding"/>
    <n v="2"/>
    <n v="2"/>
    <s v="QuickParts"/>
    <n v="4"/>
    <x v="4"/>
  </r>
  <r>
    <s v="Aluminum Sheets"/>
    <s v="2024-03-13"/>
    <n v="1323"/>
    <s v="Shift 1"/>
    <s v="Press"/>
    <s v="Assembly"/>
    <n v="19"/>
    <n v="4"/>
    <s v="QuickParts"/>
    <n v="5"/>
    <x v="0"/>
  </r>
  <r>
    <s v="Aluminum Sheets"/>
    <s v="2024-10-20"/>
    <n v="1297"/>
    <s v="Shift 3"/>
    <s v="Lathe"/>
    <s v="Painting"/>
    <n v="5"/>
    <n v="2"/>
    <s v="Bright Supplies"/>
    <n v="4"/>
    <x v="1"/>
  </r>
  <r>
    <s v="Steel Bolts"/>
    <s v="2024-12-21"/>
    <n v="1765"/>
    <s v="Shift 2"/>
    <s v="Press"/>
    <s v="Assembly"/>
    <n v="26"/>
    <n v="9"/>
    <s v="Alpha Metals"/>
    <n v="2"/>
    <x v="10"/>
  </r>
  <r>
    <s v="Aluminum Sheets"/>
    <s v="2024-04-19"/>
    <n v="1774"/>
    <s v="Shift 3"/>
    <s v="Press"/>
    <s v="Painting"/>
    <n v="1"/>
    <n v="2"/>
    <s v="Metro Steel"/>
    <n v="4"/>
    <x v="6"/>
  </r>
  <r>
    <s v="Steel Bolts"/>
    <s v="2024-09-02"/>
    <n v="1376"/>
    <s v="Shift 3"/>
    <s v="Press"/>
    <s v="Cutting"/>
    <n v="28"/>
    <n v="2"/>
    <s v="QuickParts"/>
    <n v="0"/>
    <x v="5"/>
  </r>
  <r>
    <s v="Aluminum Sheets"/>
    <s v="2024-03-03"/>
    <n v="1528"/>
    <s v="Shift 3"/>
    <s v="Cutter"/>
    <s v="Welding"/>
    <n v="37"/>
    <n v="6"/>
    <s v="Metro Steel"/>
    <n v="4"/>
    <x v="0"/>
  </r>
  <r>
    <s v="Plastic Gears"/>
    <s v="2024-02-02"/>
    <n v="1642"/>
    <s v="Shift 3"/>
    <s v="Lathe"/>
    <s v="Cutting"/>
    <n v="2"/>
    <n v="6"/>
    <s v="Bright Supplies"/>
    <n v="2"/>
    <x v="11"/>
  </r>
  <r>
    <s v="Aluminum Sheets"/>
    <s v="2024-07-15"/>
    <n v="1515"/>
    <s v="Shift 1"/>
    <s v="Drill"/>
    <s v="Painting"/>
    <n v="15"/>
    <n v="6"/>
    <s v="QuickParts"/>
    <n v="3"/>
    <x v="4"/>
  </r>
  <r>
    <s v="Steel Bolts"/>
    <s v="2024-06-05"/>
    <n v="873"/>
    <s v="Shift 1"/>
    <s v="Lathe"/>
    <s v="Painting"/>
    <n v="29"/>
    <n v="9"/>
    <s v="Bright Supplies"/>
    <n v="5"/>
    <x v="3"/>
  </r>
  <r>
    <s v="Steel Bolts"/>
    <s v="2024-02-10"/>
    <n v="1588"/>
    <s v="Shift 2"/>
    <s v="Drill"/>
    <s v="Painting"/>
    <n v="39"/>
    <n v="7"/>
    <s v="Alpha Metals"/>
    <n v="4"/>
    <x v="11"/>
  </r>
  <r>
    <s v="Plastic Gears"/>
    <s v="2024-09-21"/>
    <n v="645"/>
    <s v="Shift 1"/>
    <s v="Cutter"/>
    <s v="Welding"/>
    <n v="1"/>
    <n v="4"/>
    <s v="Bright Supplies"/>
    <n v="5"/>
    <x v="5"/>
  </r>
  <r>
    <s v="Aluminum Sheets"/>
    <s v="2024-12-09"/>
    <n v="723"/>
    <s v="Shift 1"/>
    <s v="Cutter"/>
    <s v="Assembly"/>
    <n v="16"/>
    <n v="4"/>
    <s v="Bright Supplies"/>
    <n v="1"/>
    <x v="10"/>
  </r>
  <r>
    <s v="Aluminum Sheets"/>
    <s v="2024-11-10"/>
    <n v="1762"/>
    <s v="Shift 2"/>
    <s v="Cutter"/>
    <s v="Cutting"/>
    <n v="40"/>
    <n v="3"/>
    <s v="Alpha Metals"/>
    <n v="0"/>
    <x v="8"/>
  </r>
  <r>
    <s v="Plastic Gears"/>
    <s v="2024-02-26"/>
    <n v="676"/>
    <s v="Shift 1"/>
    <s v="Cutter"/>
    <s v="Cutting"/>
    <n v="11"/>
    <n v="6"/>
    <s v="Metro Steel"/>
    <n v="0"/>
    <x v="11"/>
  </r>
  <r>
    <s v="Aluminum Sheets"/>
    <s v="2024-12-14"/>
    <n v="1352"/>
    <s v="Shift 1"/>
    <s v="Drill"/>
    <s v="Assembly"/>
    <n v="34"/>
    <n v="9"/>
    <s v="Alpha Metals"/>
    <n v="1"/>
    <x v="10"/>
  </r>
  <r>
    <s v="Aluminum Sheets"/>
    <s v="2024-06-02"/>
    <n v="1805"/>
    <s v="Shift 2"/>
    <s v="Press"/>
    <s v="Cutting"/>
    <n v="42"/>
    <n v="3"/>
    <s v="Alpha Metals"/>
    <n v="1"/>
    <x v="3"/>
  </r>
  <r>
    <s v="Steel Bolts"/>
    <s v="2024-01-17"/>
    <n v="562"/>
    <s v="Shift 2"/>
    <s v="Drill"/>
    <s v="Welding"/>
    <n v="0"/>
    <n v="1"/>
    <s v="Bright Supplies"/>
    <n v="4"/>
    <x v="2"/>
  </r>
  <r>
    <s v="Aluminum Sheets"/>
    <s v="2024-02-14"/>
    <n v="1740"/>
    <s v="Shift 2"/>
    <s v="Lathe"/>
    <s v="Cutting"/>
    <n v="44"/>
    <n v="3"/>
    <s v="Metro Steel"/>
    <n v="1"/>
    <x v="11"/>
  </r>
  <r>
    <s v="Aluminum Sheets"/>
    <s v="2024-07-13"/>
    <n v="1326"/>
    <s v="Shift 3"/>
    <s v="Cutter"/>
    <s v="Painting"/>
    <n v="14"/>
    <n v="7"/>
    <s v="QuickParts"/>
    <n v="3"/>
    <x v="4"/>
  </r>
  <r>
    <s v="Plastic Gears"/>
    <s v="2024-12-05"/>
    <n v="1294"/>
    <s v="Shift 3"/>
    <s v="Cutter"/>
    <s v="Assembly"/>
    <n v="25"/>
    <n v="8"/>
    <s v="Alpha Metals"/>
    <n v="5"/>
    <x v="10"/>
  </r>
  <r>
    <s v="Plastic Gears"/>
    <s v="2024-12-11"/>
    <n v="1188"/>
    <s v="Shift 2"/>
    <s v="Lathe"/>
    <s v="Welding"/>
    <n v="36"/>
    <n v="2"/>
    <s v="Metro Steel"/>
    <n v="5"/>
    <x v="10"/>
  </r>
  <r>
    <s v="Copper Pipes"/>
    <s v="2024-03-11"/>
    <n v="1984"/>
    <s v="Shift 2"/>
    <s v="Drill"/>
    <s v="Assembly"/>
    <n v="20"/>
    <n v="6"/>
    <s v="Alpha Metals"/>
    <n v="2"/>
    <x v="0"/>
  </r>
  <r>
    <s v="Steel Bolts"/>
    <s v="2024-06-08"/>
    <n v="604"/>
    <s v="Shift 2"/>
    <s v="Press"/>
    <s v="Welding"/>
    <n v="48"/>
    <n v="8"/>
    <s v="Alpha Metals"/>
    <n v="1"/>
    <x v="3"/>
  </r>
  <r>
    <s v="Aluminum Sheets"/>
    <s v="2024-04-06"/>
    <n v="1622"/>
    <s v="Shift 3"/>
    <s v="Press"/>
    <s v="Painting"/>
    <n v="30"/>
    <n v="10"/>
    <s v="Alpha Metals"/>
    <n v="1"/>
    <x v="6"/>
  </r>
  <r>
    <s v="Aluminum Sheets"/>
    <s v="2024-01-19"/>
    <n v="1010"/>
    <s v="Shift 3"/>
    <s v="Lathe"/>
    <s v="Assembly"/>
    <n v="24"/>
    <n v="3"/>
    <s v="Alpha Metals"/>
    <n v="3"/>
    <x v="2"/>
  </r>
  <r>
    <s v="Copper Pipes"/>
    <s v="2024-08-12"/>
    <n v="884"/>
    <s v="Shift 1"/>
    <s v="Press"/>
    <s v="Cutting"/>
    <n v="22"/>
    <n v="9"/>
    <s v="Bright Supplies"/>
    <n v="0"/>
    <x v="7"/>
  </r>
  <r>
    <s v="Aluminum Sheets"/>
    <s v="2024-11-02"/>
    <n v="904"/>
    <s v="Shift 1"/>
    <s v="Drill"/>
    <s v="Welding"/>
    <n v="23"/>
    <n v="2"/>
    <s v="Metro Steel"/>
    <n v="0"/>
    <x v="8"/>
  </r>
  <r>
    <s v="Steel Bolts"/>
    <s v="2024-11-19"/>
    <n v="1322"/>
    <s v="Shift 2"/>
    <s v="Drill"/>
    <s v="Assembly"/>
    <n v="37"/>
    <n v="4"/>
    <s v="Metro Steel"/>
    <n v="5"/>
    <x v="8"/>
  </r>
  <r>
    <s v="Copper Pipes"/>
    <s v="2024-01-28"/>
    <n v="1017"/>
    <s v="Shift 3"/>
    <s v="Lathe"/>
    <s v="Cutting"/>
    <n v="27"/>
    <n v="0"/>
    <s v="Metro Steel"/>
    <n v="5"/>
    <x v="2"/>
  </r>
  <r>
    <s v="Steel Bolts"/>
    <s v="2024-10-05"/>
    <n v="975"/>
    <s v="Shift 3"/>
    <s v="Drill"/>
    <s v="Assembly"/>
    <n v="20"/>
    <n v="2"/>
    <s v="Alpha Metals"/>
    <n v="4"/>
    <x v="1"/>
  </r>
  <r>
    <s v="Copper Pipes"/>
    <s v="2024-12-18"/>
    <n v="1208"/>
    <s v="Shift 3"/>
    <s v="Cutter"/>
    <s v="Assembly"/>
    <n v="42"/>
    <n v="7"/>
    <s v="Bright Supplies"/>
    <n v="3"/>
    <x v="10"/>
  </r>
  <r>
    <s v="Copper Pipes"/>
    <s v="2024-08-21"/>
    <n v="1270"/>
    <s v="Shift 2"/>
    <s v="Lathe"/>
    <s v="Assembly"/>
    <n v="17"/>
    <n v="10"/>
    <s v="Alpha Metals"/>
    <n v="2"/>
    <x v="7"/>
  </r>
  <r>
    <s v="Plastic Gears"/>
    <s v="2024-10-26"/>
    <n v="1960"/>
    <s v="Shift 1"/>
    <s v="Drill"/>
    <s v="Welding"/>
    <n v="35"/>
    <n v="7"/>
    <s v="Alpha Metals"/>
    <n v="2"/>
    <x v="1"/>
  </r>
  <r>
    <s v="Steel Bolts"/>
    <s v="2024-01-04"/>
    <n v="1546"/>
    <s v="Shift 2"/>
    <s v="Lathe"/>
    <s v="Cutting"/>
    <n v="34"/>
    <n v="3"/>
    <s v="Metro Steel"/>
    <n v="3"/>
    <x v="2"/>
  </r>
  <r>
    <s v="Aluminum Sheets"/>
    <s v="2024-04-07"/>
    <n v="1496"/>
    <s v="Shift 1"/>
    <s v="Press"/>
    <s v="Painting"/>
    <n v="44"/>
    <n v="1"/>
    <s v="Alpha Metals"/>
    <n v="2"/>
    <x v="6"/>
  </r>
  <r>
    <s v="Aluminum Sheets"/>
    <s v="2024-09-04"/>
    <n v="1176"/>
    <s v="Shift 1"/>
    <s v="Drill"/>
    <s v="Welding"/>
    <n v="8"/>
    <n v="7"/>
    <s v="QuickParts"/>
    <n v="0"/>
    <x v="5"/>
  </r>
  <r>
    <s v="Steel Bolts"/>
    <s v="2024-11-27"/>
    <n v="1213"/>
    <s v="Shift 2"/>
    <s v="Cutter"/>
    <s v="Welding"/>
    <n v="37"/>
    <n v="7"/>
    <s v="Alpha Metals"/>
    <n v="2"/>
    <x v="8"/>
  </r>
  <r>
    <s v="Aluminum Sheets"/>
    <s v="2024-05-09"/>
    <n v="1981"/>
    <s v="Shift 1"/>
    <s v="Drill"/>
    <s v="Welding"/>
    <n v="29"/>
    <n v="9"/>
    <s v="QuickParts"/>
    <n v="2"/>
    <x v="9"/>
  </r>
  <r>
    <s v="Aluminum Sheets"/>
    <s v="2024-04-20"/>
    <n v="582"/>
    <s v="Shift 1"/>
    <s v="Lathe"/>
    <s v="Painting"/>
    <n v="43"/>
    <n v="3"/>
    <s v="Alpha Metals"/>
    <n v="3"/>
    <x v="6"/>
  </r>
  <r>
    <s v="Steel Bolts"/>
    <s v="2024-12-19"/>
    <n v="1668"/>
    <s v="Shift 3"/>
    <s v="Lathe"/>
    <s v="Cutting"/>
    <n v="33"/>
    <n v="2"/>
    <s v="Bright Supplies"/>
    <n v="3"/>
    <x v="10"/>
  </r>
  <r>
    <s v="Copper Pipes"/>
    <s v="2024-10-18"/>
    <n v="1608"/>
    <s v="Shift 1"/>
    <s v="Drill"/>
    <s v="Cutting"/>
    <n v="31"/>
    <n v="1"/>
    <s v="Bright Supplies"/>
    <n v="2"/>
    <x v="1"/>
  </r>
  <r>
    <s v="Steel Bolts"/>
    <s v="2024-03-08"/>
    <n v="1601"/>
    <s v="Shift 2"/>
    <s v="Cutter"/>
    <s v="Cutting"/>
    <n v="2"/>
    <n v="8"/>
    <s v="Metro Steel"/>
    <n v="1"/>
    <x v="0"/>
  </r>
  <r>
    <s v="Copper Pipes"/>
    <s v="2024-01-05"/>
    <n v="956"/>
    <s v="Shift 2"/>
    <s v="Cutter"/>
    <s v="Assembly"/>
    <n v="2"/>
    <n v="0"/>
    <s v="Alpha Metals"/>
    <n v="3"/>
    <x v="2"/>
  </r>
  <r>
    <s v="Aluminum Sheets"/>
    <s v="2024-11-15"/>
    <n v="500"/>
    <s v="Shift 1"/>
    <s v="Cutter"/>
    <s v="Assembly"/>
    <n v="27"/>
    <n v="6"/>
    <s v="QuickParts"/>
    <n v="4"/>
    <x v="8"/>
  </r>
  <r>
    <s v="Aluminum Sheets"/>
    <s v="2024-03-17"/>
    <n v="550"/>
    <s v="Shift 3"/>
    <s v="Lathe"/>
    <s v="Assembly"/>
    <n v="43"/>
    <n v="4"/>
    <s v="QuickParts"/>
    <n v="4"/>
    <x v="0"/>
  </r>
  <r>
    <s v="Aluminum Sheets"/>
    <s v="2024-03-20"/>
    <n v="1184"/>
    <s v="Shift 3"/>
    <s v="Drill"/>
    <s v="Painting"/>
    <n v="14"/>
    <n v="7"/>
    <s v="Alpha Metals"/>
    <n v="0"/>
    <x v="0"/>
  </r>
  <r>
    <s v="Plastic Gears"/>
    <s v="2024-08-25"/>
    <n v="1216"/>
    <s v="Shift 1"/>
    <s v="Press"/>
    <s v="Assembly"/>
    <n v="40"/>
    <n v="3"/>
    <s v="QuickParts"/>
    <n v="2"/>
    <x v="7"/>
  </r>
  <r>
    <s v="Copper Pipes"/>
    <s v="2024-12-07"/>
    <n v="1969"/>
    <s v="Shift 1"/>
    <s v="Lathe"/>
    <s v="Painting"/>
    <n v="22"/>
    <n v="6"/>
    <s v="Bright Supplies"/>
    <n v="1"/>
    <x v="10"/>
  </r>
  <r>
    <s v="Plastic Gears"/>
    <s v="2024-07-26"/>
    <n v="948"/>
    <s v="Shift 2"/>
    <s v="Cutter"/>
    <s v="Cutting"/>
    <n v="39"/>
    <n v="4"/>
    <s v="QuickParts"/>
    <n v="0"/>
    <x v="4"/>
  </r>
  <r>
    <s v="Plastic Gears"/>
    <s v="2024-12-24"/>
    <n v="1380"/>
    <s v="Shift 1"/>
    <s v="Drill"/>
    <s v="Assembly"/>
    <n v="10"/>
    <n v="4"/>
    <s v="Metro Steel"/>
    <n v="2"/>
    <x v="10"/>
  </r>
  <r>
    <s v="Steel Bolts"/>
    <s v="2024-02-24"/>
    <n v="987"/>
    <s v="Shift 3"/>
    <s v="Cutter"/>
    <s v="Assembly"/>
    <n v="47"/>
    <n v="8"/>
    <s v="Bright Supplies"/>
    <n v="3"/>
    <x v="11"/>
  </r>
  <r>
    <s v="Plastic Gears"/>
    <s v="2024-02-06"/>
    <n v="533"/>
    <s v="Shift 1"/>
    <s v="Press"/>
    <s v="Welding"/>
    <n v="31"/>
    <n v="8"/>
    <s v="Bright Supplies"/>
    <n v="4"/>
    <x v="11"/>
  </r>
  <r>
    <s v="Steel Bolts"/>
    <s v="2024-07-18"/>
    <n v="1871"/>
    <s v="Shift 2"/>
    <s v="Cutter"/>
    <s v="Painting"/>
    <n v="35"/>
    <n v="8"/>
    <s v="Bright Supplies"/>
    <n v="5"/>
    <x v="4"/>
  </r>
  <r>
    <s v="Steel Bolts"/>
    <s v="2024-08-11"/>
    <n v="594"/>
    <s v="Shift 2"/>
    <s v="Cutter"/>
    <s v="Cutting"/>
    <n v="32"/>
    <n v="5"/>
    <s v="Alpha Metals"/>
    <n v="1"/>
    <x v="7"/>
  </r>
  <r>
    <s v="Plastic Gears"/>
    <s v="2024-09-11"/>
    <n v="1595"/>
    <s v="Shift 2"/>
    <s v="Press"/>
    <s v="Welding"/>
    <n v="23"/>
    <n v="5"/>
    <s v="Alpha Metals"/>
    <n v="5"/>
    <x v="5"/>
  </r>
  <r>
    <s v="Copper Pipes"/>
    <s v="2024-06-23"/>
    <n v="653"/>
    <s v="Shift 2"/>
    <s v="Drill"/>
    <s v="Welding"/>
    <n v="38"/>
    <n v="4"/>
    <s v="Bright Supplies"/>
    <n v="4"/>
    <x v="3"/>
  </r>
  <r>
    <s v="Copper Pipes"/>
    <s v="2024-08-23"/>
    <n v="749"/>
    <s v="Shift 2"/>
    <s v="Lathe"/>
    <s v="Cutting"/>
    <n v="33"/>
    <n v="8"/>
    <s v="Alpha Metals"/>
    <n v="5"/>
    <x v="7"/>
  </r>
  <r>
    <s v="Copper Pipes"/>
    <s v="2024-11-14"/>
    <n v="1173"/>
    <s v="Shift 1"/>
    <s v="Drill"/>
    <s v="Welding"/>
    <n v="27"/>
    <n v="9"/>
    <s v="QuickParts"/>
    <n v="3"/>
    <x v="8"/>
  </r>
  <r>
    <s v="Copper Pipes"/>
    <s v="2024-07-02"/>
    <n v="937"/>
    <s v="Shift 1"/>
    <s v="Press"/>
    <s v="Painting"/>
    <n v="36"/>
    <n v="7"/>
    <s v="Alpha Metals"/>
    <n v="2"/>
    <x v="4"/>
  </r>
  <r>
    <s v="Copper Pipes"/>
    <s v="2024-11-19"/>
    <n v="617"/>
    <s v="Shift 1"/>
    <s v="Cutter"/>
    <s v="Painting"/>
    <n v="6"/>
    <n v="6"/>
    <s v="Alpha Metals"/>
    <n v="3"/>
    <x v="8"/>
  </r>
  <r>
    <s v="Plastic Gears"/>
    <s v="2024-08-20"/>
    <n v="1270"/>
    <s v="Shift 1"/>
    <s v="Drill"/>
    <s v="Assembly"/>
    <n v="3"/>
    <n v="6"/>
    <s v="Bright Supplies"/>
    <n v="5"/>
    <x v="7"/>
  </r>
  <r>
    <s v="Plastic Gears"/>
    <s v="2024-08-30"/>
    <n v="1829"/>
    <s v="Shift 2"/>
    <s v="Lathe"/>
    <s v="Welding"/>
    <n v="36"/>
    <n v="5"/>
    <s v="Metro Steel"/>
    <n v="3"/>
    <x v="7"/>
  </r>
  <r>
    <s v="Aluminum Sheets"/>
    <s v="2024-09-23"/>
    <n v="767"/>
    <s v="Shift 3"/>
    <s v="Press"/>
    <s v="Assembly"/>
    <n v="0"/>
    <n v="4"/>
    <s v="Metro Steel"/>
    <n v="4"/>
    <x v="5"/>
  </r>
  <r>
    <s v="Copper Pipes"/>
    <s v="2024-02-27"/>
    <n v="1577"/>
    <s v="Shift 1"/>
    <s v="Drill"/>
    <s v="Welding"/>
    <n v="0"/>
    <n v="3"/>
    <s v="Metro Steel"/>
    <n v="1"/>
    <x v="11"/>
  </r>
  <r>
    <s v="Plastic Gears"/>
    <s v="2024-05-09"/>
    <n v="735"/>
    <s v="Shift 3"/>
    <s v="Lathe"/>
    <s v="Painting"/>
    <n v="46"/>
    <n v="2"/>
    <s v="QuickParts"/>
    <n v="3"/>
    <x v="9"/>
  </r>
  <r>
    <s v="Aluminum Sheets"/>
    <s v="2024-08-10"/>
    <n v="888"/>
    <s v="Shift 1"/>
    <s v="Press"/>
    <s v="Painting"/>
    <n v="19"/>
    <n v="2"/>
    <s v="Alpha Metals"/>
    <n v="4"/>
    <x v="7"/>
  </r>
  <r>
    <s v="Copper Pipes"/>
    <s v="2024-10-19"/>
    <n v="1489"/>
    <s v="Shift 1"/>
    <s v="Lathe"/>
    <s v="Painting"/>
    <n v="18"/>
    <n v="5"/>
    <s v="Metro Steel"/>
    <n v="1"/>
    <x v="1"/>
  </r>
  <r>
    <s v="Steel Bolts"/>
    <s v="2024-05-15"/>
    <n v="1262"/>
    <s v="Shift 3"/>
    <s v="Press"/>
    <s v="Welding"/>
    <n v="28"/>
    <n v="3"/>
    <s v="Bright Supplies"/>
    <n v="2"/>
    <x v="9"/>
  </r>
  <r>
    <s v="Aluminum Sheets"/>
    <s v="2024-10-26"/>
    <n v="900"/>
    <s v="Shift 2"/>
    <s v="Cutter"/>
    <s v="Painting"/>
    <n v="9"/>
    <n v="5"/>
    <s v="Metro Steel"/>
    <n v="5"/>
    <x v="1"/>
  </r>
  <r>
    <s v="Plastic Gears"/>
    <s v="2024-03-25"/>
    <n v="1123"/>
    <s v="Shift 1"/>
    <s v="Drill"/>
    <s v="Welding"/>
    <n v="17"/>
    <n v="2"/>
    <s v="Metro Steel"/>
    <n v="2"/>
    <x v="0"/>
  </r>
  <r>
    <s v="Steel Bolts"/>
    <s v="2024-03-24"/>
    <n v="1266"/>
    <s v="Shift 1"/>
    <s v="Lathe"/>
    <s v="Assembly"/>
    <n v="27"/>
    <n v="3"/>
    <s v="Alpha Metals"/>
    <n v="0"/>
    <x v="0"/>
  </r>
  <r>
    <s v="Steel Bolts"/>
    <s v="2024-11-05"/>
    <n v="1826"/>
    <s v="Shift 1"/>
    <s v="Press"/>
    <s v="Welding"/>
    <n v="34"/>
    <n v="8"/>
    <s v="Alpha Metals"/>
    <n v="4"/>
    <x v="8"/>
  </r>
  <r>
    <s v="Steel Bolts"/>
    <s v="2024-03-15"/>
    <n v="1418"/>
    <s v="Shift 3"/>
    <s v="Lathe"/>
    <s v="Assembly"/>
    <n v="42"/>
    <n v="4"/>
    <s v="Alpha Metals"/>
    <n v="1"/>
    <x v="0"/>
  </r>
  <r>
    <s v="Aluminum Sheets"/>
    <s v="2024-08-26"/>
    <n v="1730"/>
    <s v="Shift 2"/>
    <s v="Lathe"/>
    <s v="Welding"/>
    <n v="46"/>
    <n v="6"/>
    <s v="QuickParts"/>
    <n v="3"/>
    <x v="7"/>
  </r>
  <r>
    <s v="Plastic Gears"/>
    <s v="2024-10-25"/>
    <n v="1752"/>
    <s v="Shift 3"/>
    <s v="Drill"/>
    <s v="Assembly"/>
    <n v="30"/>
    <n v="9"/>
    <s v="QuickParts"/>
    <n v="2"/>
    <x v="1"/>
  </r>
  <r>
    <s v="Steel Bolts"/>
    <s v="2024-03-22"/>
    <n v="1352"/>
    <s v="Shift 3"/>
    <s v="Cutter"/>
    <s v="Painting"/>
    <n v="26"/>
    <n v="1"/>
    <s v="Metro Steel"/>
    <n v="1"/>
    <x v="0"/>
  </r>
  <r>
    <s v="Copper Pipes"/>
    <s v="2024-04-19"/>
    <n v="1077"/>
    <s v="Shift 2"/>
    <s v="Lathe"/>
    <s v="Assembly"/>
    <n v="10"/>
    <n v="4"/>
    <s v="Alpha Metals"/>
    <n v="4"/>
    <x v="6"/>
  </r>
  <r>
    <s v="Steel Bolts"/>
    <s v="2024-02-12"/>
    <n v="574"/>
    <s v="Shift 3"/>
    <s v="Press"/>
    <s v="Painting"/>
    <n v="48"/>
    <n v="8"/>
    <s v="Metro Steel"/>
    <n v="0"/>
    <x v="11"/>
  </r>
  <r>
    <s v="Steel Bolts"/>
    <s v="2024-04-25"/>
    <n v="934"/>
    <s v="Shift 2"/>
    <s v="Press"/>
    <s v="Painting"/>
    <n v="48"/>
    <n v="10"/>
    <s v="Bright Supplies"/>
    <n v="2"/>
    <x v="6"/>
  </r>
  <r>
    <s v="Aluminum Sheets"/>
    <s v="2024-04-16"/>
    <n v="602"/>
    <s v="Shift 1"/>
    <s v="Cutter"/>
    <s v="Assembly"/>
    <n v="37"/>
    <n v="2"/>
    <s v="Bright Supplies"/>
    <n v="5"/>
    <x v="6"/>
  </r>
  <r>
    <s v="Aluminum Sheets"/>
    <s v="2024-09-12"/>
    <n v="1945"/>
    <s v="Shift 2"/>
    <s v="Press"/>
    <s v="Welding"/>
    <n v="4"/>
    <n v="8"/>
    <s v="Alpha Metals"/>
    <n v="1"/>
    <x v="5"/>
  </r>
  <r>
    <s v="Plastic Gears"/>
    <s v="2024-02-07"/>
    <n v="1263"/>
    <s v="Shift 1"/>
    <s v="Cutter"/>
    <s v="Welding"/>
    <n v="7"/>
    <n v="10"/>
    <s v="Alpha Metals"/>
    <n v="5"/>
    <x v="11"/>
  </r>
  <r>
    <s v="Copper Pipes"/>
    <s v="2024-04-10"/>
    <n v="1237"/>
    <s v="Shift 3"/>
    <s v="Press"/>
    <s v="Cutting"/>
    <n v="33"/>
    <n v="5"/>
    <s v="Bright Supplies"/>
    <n v="1"/>
    <x v="6"/>
  </r>
  <r>
    <s v="Aluminum Sheets"/>
    <s v="2024-08-31"/>
    <n v="1305"/>
    <s v="Shift 3"/>
    <s v="Drill"/>
    <s v="Welding"/>
    <n v="47"/>
    <n v="3"/>
    <s v="Alpha Metals"/>
    <n v="1"/>
    <x v="7"/>
  </r>
  <r>
    <s v="Steel Bolts"/>
    <s v="2024-10-13"/>
    <n v="1829"/>
    <s v="Shift 1"/>
    <s v="Lathe"/>
    <s v="Cutting"/>
    <n v="11"/>
    <n v="6"/>
    <s v="QuickParts"/>
    <n v="4"/>
    <x v="1"/>
  </r>
  <r>
    <s v="Plastic Gears"/>
    <s v="2024-03-06"/>
    <n v="597"/>
    <s v="Shift 3"/>
    <s v="Drill"/>
    <s v="Welding"/>
    <n v="37"/>
    <n v="7"/>
    <s v="QuickParts"/>
    <n v="4"/>
    <x v="0"/>
  </r>
  <r>
    <s v="Steel Bolts"/>
    <s v="2024-02-23"/>
    <n v="1297"/>
    <s v="Shift 2"/>
    <s v="Lathe"/>
    <s v="Welding"/>
    <n v="0"/>
    <n v="5"/>
    <s v="Alpha Metals"/>
    <n v="4"/>
    <x v="11"/>
  </r>
  <r>
    <s v="Steel Bolts"/>
    <s v="2024-07-29"/>
    <n v="1858"/>
    <s v="Shift 1"/>
    <s v="Lathe"/>
    <s v="Painting"/>
    <n v="30"/>
    <n v="4"/>
    <s v="Bright Supplies"/>
    <n v="3"/>
    <x v="4"/>
  </r>
  <r>
    <s v="Aluminum Sheets"/>
    <s v="2024-09-24"/>
    <n v="1358"/>
    <s v="Shift 3"/>
    <s v="Lathe"/>
    <s v="Cutting"/>
    <n v="3"/>
    <n v="5"/>
    <s v="Metro Steel"/>
    <n v="1"/>
    <x v="5"/>
  </r>
  <r>
    <s v="Plastic Gears"/>
    <s v="2024-05-06"/>
    <n v="934"/>
    <s v="Shift 1"/>
    <s v="Drill"/>
    <s v="Welding"/>
    <n v="48"/>
    <n v="4"/>
    <s v="Alpha Metals"/>
    <n v="2"/>
    <x v="9"/>
  </r>
  <r>
    <s v="Copper Pipes"/>
    <s v="2024-08-16"/>
    <n v="946"/>
    <s v="Shift 2"/>
    <s v="Lathe"/>
    <s v="Cutting"/>
    <n v="44"/>
    <n v="7"/>
    <s v="Alpha Metals"/>
    <n v="5"/>
    <x v="7"/>
  </r>
  <r>
    <s v="Copper Pipes"/>
    <s v="2024-12-20"/>
    <n v="1831"/>
    <s v="Shift 2"/>
    <s v="Drill"/>
    <s v="Painting"/>
    <n v="49"/>
    <n v="0"/>
    <s v="Metro Steel"/>
    <n v="4"/>
    <x v="10"/>
  </r>
  <r>
    <s v="Aluminum Sheets"/>
    <s v="2024-10-31"/>
    <n v="748"/>
    <s v="Shift 3"/>
    <s v="Cutter"/>
    <s v="Painting"/>
    <n v="4"/>
    <n v="10"/>
    <s v="Alpha Metals"/>
    <n v="4"/>
    <x v="1"/>
  </r>
  <r>
    <s v="Aluminum Sheets"/>
    <s v="2024-07-24"/>
    <n v="665"/>
    <s v="Shift 2"/>
    <s v="Press"/>
    <s v="Cutting"/>
    <n v="29"/>
    <n v="6"/>
    <s v="Metro Steel"/>
    <n v="5"/>
    <x v="4"/>
  </r>
  <r>
    <s v="Plastic Gears"/>
    <s v="2024-06-03"/>
    <n v="1483"/>
    <s v="Shift 1"/>
    <s v="Press"/>
    <s v="Painting"/>
    <n v="23"/>
    <n v="9"/>
    <s v="Bright Supplies"/>
    <n v="5"/>
    <x v="3"/>
  </r>
  <r>
    <s v="Copper Pipes"/>
    <s v="2024-08-07"/>
    <n v="1858"/>
    <s v="Shift 2"/>
    <s v="Lathe"/>
    <s v="Assembly"/>
    <n v="2"/>
    <n v="9"/>
    <s v="QuickParts"/>
    <n v="1"/>
    <x v="7"/>
  </r>
  <r>
    <s v="Copper Pipes"/>
    <s v="2024-12-26"/>
    <n v="1519"/>
    <s v="Shift 1"/>
    <s v="Drill"/>
    <s v="Assembly"/>
    <n v="10"/>
    <n v="10"/>
    <s v="Bright Supplies"/>
    <n v="4"/>
    <x v="10"/>
  </r>
  <r>
    <s v="Copper Pipes"/>
    <s v="2024-08-11"/>
    <n v="1041"/>
    <s v="Shift 1"/>
    <s v="Press"/>
    <s v="Painting"/>
    <n v="44"/>
    <n v="1"/>
    <s v="QuickParts"/>
    <n v="5"/>
    <x v="7"/>
  </r>
  <r>
    <s v="Steel Bolts"/>
    <s v="2024-09-07"/>
    <n v="1258"/>
    <s v="Shift 2"/>
    <s v="Drill"/>
    <s v="Assembly"/>
    <n v="3"/>
    <n v="8"/>
    <s v="Metro Steel"/>
    <n v="3"/>
    <x v="5"/>
  </r>
  <r>
    <s v="Copper Pipes"/>
    <s v="2024-01-30"/>
    <n v="1629"/>
    <s v="Shift 3"/>
    <s v="Drill"/>
    <s v="Welding"/>
    <n v="25"/>
    <n v="0"/>
    <s v="QuickParts"/>
    <n v="3"/>
    <x v="2"/>
  </r>
  <r>
    <s v="Steel Bolts"/>
    <s v="2024-02-28"/>
    <n v="580"/>
    <s v="Shift 2"/>
    <s v="Lathe"/>
    <s v="Cutting"/>
    <n v="26"/>
    <n v="10"/>
    <s v="Bright Supplies"/>
    <n v="4"/>
    <x v="11"/>
  </r>
  <r>
    <s v="Plastic Gears"/>
    <s v="2024-07-08"/>
    <n v="632"/>
    <s v="Shift 1"/>
    <s v="Press"/>
    <s v="Welding"/>
    <n v="45"/>
    <n v="9"/>
    <s v="QuickParts"/>
    <n v="5"/>
    <x v="4"/>
  </r>
  <r>
    <s v="Steel Bolts"/>
    <s v="2024-10-14"/>
    <n v="1296"/>
    <s v="Shift 1"/>
    <s v="Lathe"/>
    <s v="Cutting"/>
    <n v="42"/>
    <n v="5"/>
    <s v="Metro Steel"/>
    <n v="1"/>
    <x v="1"/>
  </r>
  <r>
    <s v="Plastic Gears"/>
    <s v="2024-03-21"/>
    <n v="1399"/>
    <s v="Shift 2"/>
    <s v="Lathe"/>
    <s v="Painting"/>
    <n v="26"/>
    <n v="8"/>
    <s v="QuickParts"/>
    <n v="1"/>
    <x v="0"/>
  </r>
  <r>
    <s v="Copper Pipes"/>
    <s v="2024-02-04"/>
    <n v="637"/>
    <s v="Shift 3"/>
    <s v="Press"/>
    <s v="Welding"/>
    <n v="41"/>
    <n v="0"/>
    <s v="Alpha Metals"/>
    <n v="1"/>
    <x v="11"/>
  </r>
  <r>
    <s v="Copper Pipes"/>
    <s v="2024-08-18"/>
    <n v="683"/>
    <s v="Shift 3"/>
    <s v="Press"/>
    <s v="Painting"/>
    <n v="50"/>
    <n v="3"/>
    <s v="Bright Supplies"/>
    <n v="0"/>
    <x v="7"/>
  </r>
  <r>
    <s v="Plastic Gears"/>
    <s v="2024-12-28"/>
    <n v="1924"/>
    <s v="Shift 1"/>
    <s v="Cutter"/>
    <s v="Painting"/>
    <n v="49"/>
    <n v="3"/>
    <s v="Alpha Metals"/>
    <n v="4"/>
    <x v="10"/>
  </r>
  <r>
    <s v="Aluminum Sheets"/>
    <s v="2024-07-17"/>
    <n v="1853"/>
    <s v="Shift 1"/>
    <s v="Cutter"/>
    <s v="Cutting"/>
    <n v="5"/>
    <n v="8"/>
    <s v="Metro Steel"/>
    <n v="1"/>
    <x v="4"/>
  </r>
  <r>
    <s v="Plastic Gears"/>
    <s v="2024-03-24"/>
    <n v="1284"/>
    <s v="Shift 3"/>
    <s v="Drill"/>
    <s v="Cutting"/>
    <n v="14"/>
    <n v="10"/>
    <s v="QuickParts"/>
    <n v="3"/>
    <x v="0"/>
  </r>
  <r>
    <s v="Aluminum Sheets"/>
    <s v="2024-02-15"/>
    <n v="1483"/>
    <s v="Shift 2"/>
    <s v="Press"/>
    <s v="Cutting"/>
    <n v="29"/>
    <n v="4"/>
    <s v="Alpha Metals"/>
    <n v="5"/>
    <x v="11"/>
  </r>
  <r>
    <s v="Steel Bolts"/>
    <s v="2024-06-07"/>
    <n v="568"/>
    <s v="Shift 1"/>
    <s v="Cutter"/>
    <s v="Welding"/>
    <n v="41"/>
    <n v="4"/>
    <s v="Alpha Metals"/>
    <n v="2"/>
    <x v="3"/>
  </r>
  <r>
    <s v="Steel Bolts"/>
    <s v="2024-08-23"/>
    <n v="1045"/>
    <s v="Shift 1"/>
    <s v="Drill"/>
    <s v="Assembly"/>
    <n v="36"/>
    <n v="5"/>
    <s v="QuickParts"/>
    <n v="2"/>
    <x v="7"/>
  </r>
  <r>
    <s v="Steel Bolts"/>
    <s v="2024-10-11"/>
    <n v="552"/>
    <s v="Shift 3"/>
    <s v="Drill"/>
    <s v="Cutting"/>
    <n v="36"/>
    <n v="0"/>
    <s v="QuickParts"/>
    <n v="1"/>
    <x v="1"/>
  </r>
  <r>
    <s v="Copper Pipes"/>
    <s v="2024-05-21"/>
    <n v="1973"/>
    <s v="Shift 2"/>
    <s v="Drill"/>
    <s v="Cutting"/>
    <n v="41"/>
    <n v="0"/>
    <s v="Bright Supplies"/>
    <n v="2"/>
    <x v="9"/>
  </r>
  <r>
    <s v="Steel Bolts"/>
    <s v="2024-05-15"/>
    <n v="704"/>
    <s v="Shift 3"/>
    <s v="Cutter"/>
    <s v="Welding"/>
    <n v="36"/>
    <n v="8"/>
    <s v="Alpha Metals"/>
    <n v="2"/>
    <x v="9"/>
  </r>
  <r>
    <s v="Aluminum Sheets"/>
    <s v="2024-06-22"/>
    <n v="625"/>
    <s v="Shift 2"/>
    <s v="Press"/>
    <s v="Cutting"/>
    <n v="34"/>
    <n v="2"/>
    <s v="Alpha Metals"/>
    <n v="0"/>
    <x v="3"/>
  </r>
  <r>
    <s v="Steel Bolts"/>
    <s v="2024-03-24"/>
    <n v="542"/>
    <s v="Shift 2"/>
    <s v="Lathe"/>
    <s v="Welding"/>
    <n v="22"/>
    <n v="3"/>
    <s v="Metro Steel"/>
    <n v="3"/>
    <x v="0"/>
  </r>
  <r>
    <s v="Plastic Gears"/>
    <s v="2024-01-03"/>
    <n v="610"/>
    <s v="Shift 2"/>
    <s v="Drill"/>
    <s v="Painting"/>
    <n v="5"/>
    <n v="0"/>
    <s v="Bright Supplies"/>
    <n v="3"/>
    <x v="2"/>
  </r>
  <r>
    <s v="Plastic Gears"/>
    <s v="2024-03-23"/>
    <n v="1260"/>
    <s v="Shift 1"/>
    <s v="Cutter"/>
    <s v="Cutting"/>
    <n v="3"/>
    <n v="8"/>
    <s v="Metro Steel"/>
    <n v="0"/>
    <x v="0"/>
  </r>
  <r>
    <s v="Copper Pipes"/>
    <s v="2024-05-07"/>
    <n v="1706"/>
    <s v="Shift 3"/>
    <s v="Cutter"/>
    <s v="Cutting"/>
    <n v="17"/>
    <n v="7"/>
    <s v="Alpha Metals"/>
    <n v="0"/>
    <x v="9"/>
  </r>
  <r>
    <s v="Plastic Gears"/>
    <s v="2024-10-11"/>
    <n v="1347"/>
    <s v="Shift 3"/>
    <s v="Lathe"/>
    <s v="Painting"/>
    <n v="8"/>
    <n v="1"/>
    <s v="Metro Steel"/>
    <n v="2"/>
    <x v="1"/>
  </r>
  <r>
    <s v="Aluminum Sheets"/>
    <s v="2024-04-29"/>
    <n v="594"/>
    <s v="Shift 2"/>
    <s v="Lathe"/>
    <s v="Painting"/>
    <n v="48"/>
    <n v="7"/>
    <s v="Alpha Metals"/>
    <n v="4"/>
    <x v="6"/>
  </r>
  <r>
    <s v="Steel Bolts"/>
    <s v="2024-01-23"/>
    <n v="1897"/>
    <s v="Shift 1"/>
    <s v="Cutter"/>
    <s v="Painting"/>
    <n v="28"/>
    <n v="6"/>
    <s v="Alpha Metals"/>
    <n v="5"/>
    <x v="2"/>
  </r>
  <r>
    <s v="Copper Pipes"/>
    <s v="2024-09-23"/>
    <n v="1399"/>
    <s v="Shift 1"/>
    <s v="Press"/>
    <s v="Cutting"/>
    <n v="12"/>
    <n v="10"/>
    <s v="Metro Steel"/>
    <n v="5"/>
    <x v="5"/>
  </r>
  <r>
    <s v="Steel Bolts"/>
    <s v="2024-01-01"/>
    <n v="859"/>
    <s v="Shift 3"/>
    <s v="Lathe"/>
    <s v="Assembly"/>
    <n v="46"/>
    <n v="5"/>
    <s v="Metro Steel"/>
    <n v="2"/>
    <x v="2"/>
  </r>
  <r>
    <s v="Steel Bolts"/>
    <s v="2024-12-19"/>
    <n v="1399"/>
    <s v="Shift 1"/>
    <s v="Cutter"/>
    <s v="Assembly"/>
    <n v="16"/>
    <n v="0"/>
    <s v="QuickParts"/>
    <n v="5"/>
    <x v="10"/>
  </r>
  <r>
    <s v="Aluminum Sheets"/>
    <s v="2024-01-22"/>
    <n v="780"/>
    <s v="Shift 1"/>
    <s v="Lathe"/>
    <s v="Assembly"/>
    <n v="44"/>
    <n v="6"/>
    <s v="QuickParts"/>
    <n v="0"/>
    <x v="2"/>
  </r>
  <r>
    <s v="Plastic Gears"/>
    <s v="2024-10-08"/>
    <n v="1718"/>
    <s v="Shift 2"/>
    <s v="Press"/>
    <s v="Cutting"/>
    <n v="31"/>
    <n v="9"/>
    <s v="QuickParts"/>
    <n v="3"/>
    <x v="1"/>
  </r>
  <r>
    <s v="Plastic Gears"/>
    <s v="2024-08-03"/>
    <n v="1718"/>
    <s v="Shift 1"/>
    <s v="Drill"/>
    <s v="Painting"/>
    <n v="47"/>
    <n v="6"/>
    <s v="Alpha Metals"/>
    <n v="5"/>
    <x v="7"/>
  </r>
  <r>
    <s v="Steel Bolts"/>
    <s v="2024-02-27"/>
    <n v="1166"/>
    <s v="Shift 2"/>
    <s v="Lathe"/>
    <s v="Cutting"/>
    <n v="21"/>
    <n v="8"/>
    <s v="Metro Steel"/>
    <n v="2"/>
    <x v="11"/>
  </r>
  <r>
    <s v="Copper Pipes"/>
    <s v="2024-11-07"/>
    <n v="592"/>
    <s v="Shift 3"/>
    <s v="Press"/>
    <s v="Painting"/>
    <n v="3"/>
    <n v="0"/>
    <s v="Bright Supplies"/>
    <n v="4"/>
    <x v="8"/>
  </r>
  <r>
    <s v="Plastic Gears"/>
    <s v="2024-11-05"/>
    <n v="1171"/>
    <s v="Shift 1"/>
    <s v="Cutter"/>
    <s v="Cutting"/>
    <n v="4"/>
    <n v="1"/>
    <s v="Alpha Metals"/>
    <n v="2"/>
    <x v="8"/>
  </r>
  <r>
    <s v="Copper Pipes"/>
    <s v="2024-07-20"/>
    <n v="560"/>
    <s v="Shift 3"/>
    <s v="Lathe"/>
    <s v="Cutting"/>
    <n v="36"/>
    <n v="10"/>
    <s v="Bright Supplies"/>
    <n v="1"/>
    <x v="4"/>
  </r>
  <r>
    <s v="Plastic Gears"/>
    <s v="2024-12-17"/>
    <n v="1133"/>
    <s v="Shift 3"/>
    <s v="Lathe"/>
    <s v="Painting"/>
    <n v="40"/>
    <n v="8"/>
    <s v="Metro Steel"/>
    <n v="2"/>
    <x v="10"/>
  </r>
  <r>
    <s v="Copper Pipes"/>
    <s v="2024-01-15"/>
    <n v="1574"/>
    <s v="Shift 1"/>
    <s v="Cutter"/>
    <s v="Assembly"/>
    <n v="48"/>
    <n v="8"/>
    <s v="Alpha Metals"/>
    <n v="0"/>
    <x v="2"/>
  </r>
  <r>
    <s v="Aluminum Sheets"/>
    <s v="2024-10-25"/>
    <n v="1926"/>
    <s v="Shift 1"/>
    <s v="Drill"/>
    <s v="Painting"/>
    <n v="12"/>
    <n v="5"/>
    <s v="Bright Supplies"/>
    <n v="3"/>
    <x v="1"/>
  </r>
  <r>
    <s v="Copper Pipes"/>
    <s v="2024-09-18"/>
    <n v="1528"/>
    <s v="Shift 3"/>
    <s v="Cutter"/>
    <s v="Welding"/>
    <n v="33"/>
    <n v="5"/>
    <s v="Bright Supplies"/>
    <n v="3"/>
    <x v="5"/>
  </r>
  <r>
    <s v="Aluminum Sheets"/>
    <s v="2024-07-10"/>
    <n v="1989"/>
    <s v="Shift 1"/>
    <s v="Lathe"/>
    <s v="Welding"/>
    <n v="44"/>
    <n v="3"/>
    <s v="QuickParts"/>
    <n v="5"/>
    <x v="4"/>
  </r>
  <r>
    <s v="Aluminum Sheets"/>
    <s v="2024-04-02"/>
    <n v="1103"/>
    <s v="Shift 2"/>
    <s v="Cutter"/>
    <s v="Painting"/>
    <n v="21"/>
    <n v="3"/>
    <s v="QuickParts"/>
    <n v="0"/>
    <x v="6"/>
  </r>
  <r>
    <s v="Copper Pipes"/>
    <s v="2024-08-06"/>
    <n v="1181"/>
    <s v="Shift 2"/>
    <s v="Press"/>
    <s v="Cutting"/>
    <n v="22"/>
    <n v="4"/>
    <s v="QuickParts"/>
    <n v="1"/>
    <x v="7"/>
  </r>
  <r>
    <s v="Aluminum Sheets"/>
    <s v="2024-09-12"/>
    <n v="1033"/>
    <s v="Shift 1"/>
    <s v="Cutter"/>
    <s v="Welding"/>
    <n v="50"/>
    <n v="2"/>
    <s v="Alpha Metals"/>
    <n v="0"/>
    <x v="5"/>
  </r>
  <r>
    <s v="Steel Bolts"/>
    <s v="2024-08-21"/>
    <n v="1928"/>
    <s v="Shift 3"/>
    <s v="Lathe"/>
    <s v="Welding"/>
    <n v="2"/>
    <n v="0"/>
    <s v="Metro Steel"/>
    <n v="2"/>
    <x v="7"/>
  </r>
  <r>
    <s v="Aluminum Sheets"/>
    <s v="2024-11-02"/>
    <n v="1337"/>
    <s v="Shift 1"/>
    <s v="Cutter"/>
    <s v="Cutting"/>
    <n v="41"/>
    <n v="0"/>
    <s v="Metro Steel"/>
    <n v="0"/>
    <x v="8"/>
  </r>
  <r>
    <s v="Plastic Gears"/>
    <s v="2024-09-27"/>
    <n v="1144"/>
    <s v="Shift 1"/>
    <s v="Drill"/>
    <s v="Cutting"/>
    <n v="33"/>
    <n v="6"/>
    <s v="QuickParts"/>
    <n v="0"/>
    <x v="5"/>
  </r>
  <r>
    <s v="Copper Pipes"/>
    <s v="2024-05-19"/>
    <n v="732"/>
    <s v="Shift 3"/>
    <s v="Cutter"/>
    <s v="Assembly"/>
    <n v="31"/>
    <n v="0"/>
    <s v="QuickParts"/>
    <n v="1"/>
    <x v="9"/>
  </r>
  <r>
    <s v="Steel Bolts"/>
    <s v="2024-03-19"/>
    <n v="1023"/>
    <s v="Shift 3"/>
    <s v="Drill"/>
    <s v="Cutting"/>
    <n v="44"/>
    <n v="0"/>
    <s v="QuickParts"/>
    <n v="2"/>
    <x v="0"/>
  </r>
  <r>
    <s v="Copper Pipes"/>
    <s v="2024-08-03"/>
    <n v="845"/>
    <s v="Shift 2"/>
    <s v="Press"/>
    <s v="Painting"/>
    <n v="50"/>
    <n v="2"/>
    <s v="Bright Supplies"/>
    <n v="4"/>
    <x v="7"/>
  </r>
  <r>
    <s v="Plastic Gears"/>
    <s v="2024-03-11"/>
    <n v="1569"/>
    <s v="Shift 3"/>
    <s v="Drill"/>
    <s v="Painting"/>
    <n v="48"/>
    <n v="9"/>
    <s v="QuickParts"/>
    <n v="4"/>
    <x v="0"/>
  </r>
  <r>
    <s v="Plastic Gears"/>
    <s v="2024-06-03"/>
    <n v="1045"/>
    <s v="Shift 2"/>
    <s v="Cutter"/>
    <s v="Assembly"/>
    <n v="20"/>
    <n v="3"/>
    <s v="Bright Supplies"/>
    <n v="3"/>
    <x v="3"/>
  </r>
  <r>
    <s v="Plastic Gears"/>
    <s v="2024-09-15"/>
    <n v="1601"/>
    <s v="Shift 3"/>
    <s v="Lathe"/>
    <s v="Welding"/>
    <n v="45"/>
    <n v="3"/>
    <s v="Metro Steel"/>
    <n v="5"/>
    <x v="5"/>
  </r>
  <r>
    <s v="Aluminum Sheets"/>
    <s v="2024-04-02"/>
    <n v="1596"/>
    <s v="Shift 1"/>
    <s v="Drill"/>
    <s v="Welding"/>
    <n v="43"/>
    <n v="1"/>
    <s v="Alpha Metals"/>
    <n v="0"/>
    <x v="6"/>
  </r>
  <r>
    <s v="Aluminum Sheets"/>
    <s v="2024-11-04"/>
    <n v="1293"/>
    <s v="Shift 2"/>
    <s v="Press"/>
    <s v="Cutting"/>
    <n v="20"/>
    <n v="0"/>
    <s v="Alpha Metals"/>
    <n v="3"/>
    <x v="8"/>
  </r>
  <r>
    <s v="Copper Pipes"/>
    <s v="2024-04-28"/>
    <n v="748"/>
    <s v="Shift 2"/>
    <s v="Drill"/>
    <s v="Painting"/>
    <n v="43"/>
    <n v="2"/>
    <s v="Alpha Metals"/>
    <n v="1"/>
    <x v="6"/>
  </r>
  <r>
    <s v="Copper Pipes"/>
    <s v="2024-06-08"/>
    <n v="546"/>
    <s v="Shift 2"/>
    <s v="Drill"/>
    <s v="Welding"/>
    <n v="10"/>
    <n v="10"/>
    <s v="Alpha Metals"/>
    <n v="4"/>
    <x v="3"/>
  </r>
  <r>
    <s v="Steel Bolts"/>
    <s v="2024-02-06"/>
    <n v="1644"/>
    <s v="Shift 1"/>
    <s v="Drill"/>
    <s v="Assembly"/>
    <n v="38"/>
    <n v="3"/>
    <s v="Bright Supplies"/>
    <n v="0"/>
    <x v="11"/>
  </r>
  <r>
    <s v="Steel Bolts"/>
    <s v="2024-02-04"/>
    <n v="713"/>
    <s v="Shift 1"/>
    <s v="Press"/>
    <s v="Assembly"/>
    <n v="3"/>
    <n v="2"/>
    <s v="Bright Supplies"/>
    <n v="1"/>
    <x v="11"/>
  </r>
  <r>
    <s v="Copper Pipes"/>
    <s v="2024-12-14"/>
    <n v="738"/>
    <s v="Shift 1"/>
    <s v="Cutter"/>
    <s v="Painting"/>
    <n v="50"/>
    <n v="7"/>
    <s v="QuickParts"/>
    <n v="5"/>
    <x v="10"/>
  </r>
  <r>
    <s v="Aluminum Sheets"/>
    <s v="2024-11-10"/>
    <n v="1579"/>
    <s v="Shift 1"/>
    <s v="Drill"/>
    <s v="Assembly"/>
    <n v="0"/>
    <n v="9"/>
    <s v="Bright Supplies"/>
    <n v="1"/>
    <x v="8"/>
  </r>
  <r>
    <s v="Plastic Gears"/>
    <s v="2024-07-21"/>
    <n v="849"/>
    <s v="Shift 1"/>
    <s v="Drill"/>
    <s v="Assembly"/>
    <n v="27"/>
    <n v="0"/>
    <s v="QuickParts"/>
    <n v="0"/>
    <x v="4"/>
  </r>
  <r>
    <s v="Copper Pipes"/>
    <s v="2024-09-03"/>
    <n v="606"/>
    <s v="Shift 2"/>
    <s v="Lathe"/>
    <s v="Painting"/>
    <n v="23"/>
    <n v="1"/>
    <s v="QuickParts"/>
    <n v="5"/>
    <x v="5"/>
  </r>
  <r>
    <s v="Steel Bolts"/>
    <s v="2024-03-20"/>
    <n v="1330"/>
    <s v="Shift 1"/>
    <s v="Press"/>
    <s v="Cutting"/>
    <n v="34"/>
    <n v="6"/>
    <s v="Alpha Metals"/>
    <n v="1"/>
    <x v="0"/>
  </r>
  <r>
    <s v="Aluminum Sheets"/>
    <s v="2024-12-04"/>
    <n v="547"/>
    <s v="Shift 2"/>
    <s v="Drill"/>
    <s v="Cutting"/>
    <n v="12"/>
    <n v="3"/>
    <s v="Bright Supplies"/>
    <n v="5"/>
    <x v="10"/>
  </r>
  <r>
    <s v="Copper Pipes"/>
    <s v="2024-09-16"/>
    <n v="836"/>
    <s v="Shift 1"/>
    <s v="Press"/>
    <s v="Assembly"/>
    <n v="46"/>
    <n v="7"/>
    <s v="Bright Supplies"/>
    <n v="0"/>
    <x v="5"/>
  </r>
  <r>
    <s v="Copper Pipes"/>
    <s v="2024-07-22"/>
    <n v="1549"/>
    <s v="Shift 3"/>
    <s v="Drill"/>
    <s v="Cutting"/>
    <n v="33"/>
    <n v="10"/>
    <s v="QuickParts"/>
    <n v="0"/>
    <x v="4"/>
  </r>
  <r>
    <s v="Aluminum Sheets"/>
    <s v="2024-06-14"/>
    <n v="1303"/>
    <s v="Shift 2"/>
    <s v="Cutter"/>
    <s v="Cutting"/>
    <n v="10"/>
    <n v="2"/>
    <s v="QuickParts"/>
    <n v="5"/>
    <x v="3"/>
  </r>
  <r>
    <s v="Copper Pipes"/>
    <s v="2024-09-25"/>
    <n v="1780"/>
    <s v="Shift 3"/>
    <s v="Cutter"/>
    <s v="Assembly"/>
    <n v="35"/>
    <n v="5"/>
    <s v="Metro Steel"/>
    <n v="2"/>
    <x v="5"/>
  </r>
  <r>
    <s v="Aluminum Sheets"/>
    <s v="2024-03-14"/>
    <n v="507"/>
    <s v="Shift 2"/>
    <s v="Drill"/>
    <s v="Cutting"/>
    <n v="50"/>
    <n v="8"/>
    <s v="Metro Steel"/>
    <n v="3"/>
    <x v="0"/>
  </r>
  <r>
    <s v="Plastic Gears"/>
    <s v="2024-11-27"/>
    <n v="1124"/>
    <s v="Shift 3"/>
    <s v="Cutter"/>
    <s v="Assembly"/>
    <n v="16"/>
    <n v="0"/>
    <s v="QuickParts"/>
    <n v="1"/>
    <x v="8"/>
  </r>
  <r>
    <s v="Aluminum Sheets"/>
    <s v="2024-12-27"/>
    <n v="1776"/>
    <s v="Shift 1"/>
    <s v="Drill"/>
    <s v="Welding"/>
    <n v="34"/>
    <n v="0"/>
    <s v="Metro Steel"/>
    <n v="1"/>
    <x v="10"/>
  </r>
  <r>
    <s v="Aluminum Sheets"/>
    <s v="2024-07-06"/>
    <n v="1218"/>
    <s v="Shift 1"/>
    <s v="Cutter"/>
    <s v="Painting"/>
    <n v="17"/>
    <n v="7"/>
    <s v="Metro Steel"/>
    <n v="2"/>
    <x v="4"/>
  </r>
  <r>
    <s v="Aluminum Sheets"/>
    <s v="2024-01-09"/>
    <n v="802"/>
    <s v="Shift 1"/>
    <s v="Lathe"/>
    <s v="Painting"/>
    <n v="39"/>
    <n v="2"/>
    <s v="QuickParts"/>
    <n v="2"/>
    <x v="2"/>
  </r>
  <r>
    <s v="Copper Pipes"/>
    <s v="2024-03-24"/>
    <n v="1138"/>
    <s v="Shift 2"/>
    <s v="Lathe"/>
    <s v="Cutting"/>
    <n v="21"/>
    <n v="4"/>
    <s v="QuickParts"/>
    <n v="2"/>
    <x v="0"/>
  </r>
  <r>
    <s v="Copper Pipes"/>
    <s v="2024-02-10"/>
    <n v="555"/>
    <s v="Shift 3"/>
    <s v="Lathe"/>
    <s v="Cutting"/>
    <n v="23"/>
    <n v="0"/>
    <s v="Bright Supplies"/>
    <n v="4"/>
    <x v="11"/>
  </r>
  <r>
    <s v="Aluminum Sheets"/>
    <s v="2024-10-17"/>
    <n v="1225"/>
    <s v="Shift 1"/>
    <s v="Press"/>
    <s v="Cutting"/>
    <n v="18"/>
    <n v="4"/>
    <s v="QuickParts"/>
    <n v="4"/>
    <x v="1"/>
  </r>
  <r>
    <s v="Copper Pipes"/>
    <s v="2024-02-26"/>
    <n v="1025"/>
    <s v="Shift 3"/>
    <s v="Press"/>
    <s v="Painting"/>
    <n v="36"/>
    <n v="10"/>
    <s v="QuickParts"/>
    <n v="5"/>
    <x v="11"/>
  </r>
  <r>
    <s v="Steel Bolts"/>
    <s v="2024-01-10"/>
    <n v="973"/>
    <s v="Shift 3"/>
    <s v="Lathe"/>
    <s v="Welding"/>
    <n v="38"/>
    <n v="5"/>
    <s v="Alpha Metals"/>
    <n v="4"/>
    <x v="2"/>
  </r>
  <r>
    <s v="Steel Bolts"/>
    <s v="2024-08-01"/>
    <n v="527"/>
    <s v="Shift 1"/>
    <s v="Press"/>
    <s v="Welding"/>
    <n v="20"/>
    <n v="7"/>
    <s v="Bright Supplies"/>
    <n v="0"/>
    <x v="7"/>
  </r>
  <r>
    <s v="Copper Pipes"/>
    <s v="2024-06-15"/>
    <n v="577"/>
    <s v="Shift 1"/>
    <s v="Cutter"/>
    <s v="Painting"/>
    <n v="7"/>
    <n v="2"/>
    <s v="Bright Supplies"/>
    <n v="5"/>
    <x v="3"/>
  </r>
  <r>
    <s v="Copper Pipes"/>
    <s v="2024-12-21"/>
    <n v="1739"/>
    <s v="Shift 3"/>
    <s v="Drill"/>
    <s v="Welding"/>
    <n v="27"/>
    <n v="2"/>
    <s v="Bright Supplies"/>
    <n v="1"/>
    <x v="10"/>
  </r>
  <r>
    <s v="Aluminum Sheets"/>
    <s v="2024-02-01"/>
    <n v="1909"/>
    <s v="Shift 1"/>
    <s v="Drill"/>
    <s v="Painting"/>
    <n v="4"/>
    <n v="10"/>
    <s v="Alpha Metals"/>
    <n v="3"/>
    <x v="11"/>
  </r>
  <r>
    <s v="Plastic Gears"/>
    <s v="2024-04-03"/>
    <n v="864"/>
    <s v="Shift 1"/>
    <s v="Drill"/>
    <s v="Welding"/>
    <n v="16"/>
    <n v="10"/>
    <s v="QuickParts"/>
    <n v="0"/>
    <x v="6"/>
  </r>
  <r>
    <s v="Copper Pipes"/>
    <s v="2024-06-10"/>
    <n v="1165"/>
    <s v="Shift 1"/>
    <s v="Lathe"/>
    <s v="Assembly"/>
    <n v="36"/>
    <n v="9"/>
    <s v="Bright Supplies"/>
    <n v="1"/>
    <x v="3"/>
  </r>
  <r>
    <s v="Steel Bolts"/>
    <s v="2024-05-02"/>
    <n v="1025"/>
    <s v="Shift 2"/>
    <s v="Press"/>
    <s v="Assembly"/>
    <n v="35"/>
    <n v="8"/>
    <s v="Bright Supplies"/>
    <n v="1"/>
    <x v="9"/>
  </r>
  <r>
    <s v="Aluminum Sheets"/>
    <s v="2024-01-12"/>
    <n v="1198"/>
    <s v="Shift 3"/>
    <s v="Cutter"/>
    <s v="Painting"/>
    <n v="18"/>
    <n v="3"/>
    <s v="Metro Steel"/>
    <n v="5"/>
    <x v="2"/>
  </r>
  <r>
    <s v="Copper Pipes"/>
    <s v="2024-09-23"/>
    <n v="1835"/>
    <s v="Shift 3"/>
    <s v="Cutter"/>
    <s v="Welding"/>
    <n v="26"/>
    <n v="3"/>
    <s v="Bright Supplies"/>
    <n v="2"/>
    <x v="5"/>
  </r>
  <r>
    <s v="Steel Bolts"/>
    <s v="2024-11-21"/>
    <n v="1382"/>
    <s v="Shift 2"/>
    <s v="Lathe"/>
    <s v="Cutting"/>
    <n v="33"/>
    <n v="6"/>
    <s v="QuickParts"/>
    <n v="2"/>
    <x v="8"/>
  </r>
  <r>
    <s v="Steel Bolts"/>
    <s v="2024-10-21"/>
    <n v="1530"/>
    <s v="Shift 3"/>
    <s v="Cutter"/>
    <s v="Welding"/>
    <n v="10"/>
    <n v="1"/>
    <s v="QuickParts"/>
    <n v="0"/>
    <x v="1"/>
  </r>
  <r>
    <s v="Plastic Gears"/>
    <s v="2024-03-11"/>
    <n v="1526"/>
    <s v="Shift 1"/>
    <s v="Cutter"/>
    <s v="Assembly"/>
    <n v="44"/>
    <n v="7"/>
    <s v="Metro Steel"/>
    <n v="2"/>
    <x v="0"/>
  </r>
  <r>
    <s v="Aluminum Sheets"/>
    <s v="2024-12-24"/>
    <n v="1418"/>
    <s v="Shift 3"/>
    <s v="Cutter"/>
    <s v="Assembly"/>
    <n v="46"/>
    <n v="5"/>
    <s v="Bright Supplies"/>
    <n v="1"/>
    <x v="10"/>
  </r>
  <r>
    <s v="Aluminum Sheets"/>
    <s v="2024-03-25"/>
    <n v="1249"/>
    <s v="Shift 1"/>
    <s v="Cutter"/>
    <s v="Welding"/>
    <n v="11"/>
    <n v="2"/>
    <s v="Bright Supplies"/>
    <n v="2"/>
    <x v="0"/>
  </r>
  <r>
    <s v="Plastic Gears"/>
    <s v="2024-03-29"/>
    <n v="862"/>
    <s v="Shift 2"/>
    <s v="Press"/>
    <s v="Welding"/>
    <n v="20"/>
    <n v="8"/>
    <s v="Bright Supplies"/>
    <n v="4"/>
    <x v="0"/>
  </r>
  <r>
    <s v="Plastic Gears"/>
    <s v="2024-06-26"/>
    <n v="1797"/>
    <s v="Shift 1"/>
    <s v="Cutter"/>
    <s v="Cutting"/>
    <n v="10"/>
    <n v="4"/>
    <s v="Alpha Metals"/>
    <n v="2"/>
    <x v="3"/>
  </r>
  <r>
    <s v="Aluminum Sheets"/>
    <s v="2024-10-09"/>
    <n v="1305"/>
    <s v="Shift 3"/>
    <s v="Drill"/>
    <s v="Cutting"/>
    <n v="38"/>
    <n v="7"/>
    <s v="Bright Supplies"/>
    <n v="1"/>
    <x v="1"/>
  </r>
  <r>
    <s v="Aluminum Sheets"/>
    <s v="2024-08-11"/>
    <n v="1238"/>
    <s v="Shift 3"/>
    <s v="Lathe"/>
    <s v="Welding"/>
    <n v="27"/>
    <n v="6"/>
    <s v="QuickParts"/>
    <n v="5"/>
    <x v="7"/>
  </r>
  <r>
    <s v="Copper Pipes"/>
    <s v="2024-01-29"/>
    <n v="1538"/>
    <s v="Shift 3"/>
    <s v="Press"/>
    <s v="Welding"/>
    <n v="4"/>
    <n v="7"/>
    <s v="QuickParts"/>
    <n v="0"/>
    <x v="2"/>
  </r>
  <r>
    <s v="Copper Pipes"/>
    <s v="2024-04-18"/>
    <n v="1715"/>
    <s v="Shift 2"/>
    <s v="Cutter"/>
    <s v="Welding"/>
    <n v="16"/>
    <n v="6"/>
    <s v="Alpha Metals"/>
    <n v="3"/>
    <x v="6"/>
  </r>
  <r>
    <s v="Plastic Gears"/>
    <s v="2024-07-01"/>
    <n v="984"/>
    <s v="Shift 2"/>
    <s v="Press"/>
    <s v="Welding"/>
    <n v="19"/>
    <n v="2"/>
    <s v="Alpha Metals"/>
    <n v="2"/>
    <x v="4"/>
  </r>
  <r>
    <s v="Copper Pipes"/>
    <s v="2024-10-28"/>
    <n v="527"/>
    <s v="Shift 3"/>
    <s v="Cutter"/>
    <s v="Painting"/>
    <n v="40"/>
    <n v="1"/>
    <s v="Bright Supplies"/>
    <n v="1"/>
    <x v="1"/>
  </r>
  <r>
    <s v="Steel Bolts"/>
    <s v="2024-12-05"/>
    <n v="1213"/>
    <s v="Shift 1"/>
    <s v="Drill"/>
    <s v="Welding"/>
    <n v="45"/>
    <n v="6"/>
    <s v="Metro Steel"/>
    <n v="3"/>
    <x v="10"/>
  </r>
  <r>
    <s v="Copper Pipes"/>
    <s v="2024-09-30"/>
    <n v="1562"/>
    <s v="Shift 2"/>
    <s v="Lathe"/>
    <s v="Cutting"/>
    <n v="11"/>
    <n v="2"/>
    <s v="Alpha Metals"/>
    <n v="3"/>
    <x v="5"/>
  </r>
  <r>
    <s v="Copper Pipes"/>
    <s v="2024-11-28"/>
    <n v="1796"/>
    <s v="Shift 3"/>
    <s v="Cutter"/>
    <s v="Assembly"/>
    <n v="5"/>
    <n v="2"/>
    <s v="Alpha Metals"/>
    <n v="4"/>
    <x v="8"/>
  </r>
  <r>
    <s v="Steel Bolts"/>
    <s v="2024-07-13"/>
    <n v="1754"/>
    <s v="Shift 3"/>
    <s v="Cutter"/>
    <s v="Painting"/>
    <n v="16"/>
    <n v="1"/>
    <s v="Bright Supplies"/>
    <n v="3"/>
    <x v="4"/>
  </r>
  <r>
    <s v="Plastic Gears"/>
    <s v="2024-09-24"/>
    <n v="585"/>
    <s v="Shift 2"/>
    <s v="Cutter"/>
    <s v="Welding"/>
    <n v="50"/>
    <n v="3"/>
    <s v="Bright Supplies"/>
    <n v="5"/>
    <x v="5"/>
  </r>
  <r>
    <s v="Steel Bolts"/>
    <s v="2024-11-04"/>
    <n v="1997"/>
    <s v="Shift 2"/>
    <s v="Cutter"/>
    <s v="Assembly"/>
    <n v="18"/>
    <n v="7"/>
    <s v="Alpha Metals"/>
    <n v="1"/>
    <x v="8"/>
  </r>
  <r>
    <s v="Copper Pipes"/>
    <s v="2024-03-14"/>
    <n v="625"/>
    <s v="Shift 2"/>
    <s v="Lathe"/>
    <s v="Painting"/>
    <n v="25"/>
    <n v="0"/>
    <s v="Metro Steel"/>
    <n v="1"/>
    <x v="0"/>
  </r>
  <r>
    <s v="Plastic Gears"/>
    <s v="2024-02-01"/>
    <n v="1311"/>
    <s v="Shift 1"/>
    <s v="Lathe"/>
    <s v="Assembly"/>
    <n v="47"/>
    <n v="0"/>
    <s v="Alpha Metals"/>
    <n v="2"/>
    <x v="11"/>
  </r>
  <r>
    <s v="Copper Pipes"/>
    <s v="2024-12-06"/>
    <n v="1036"/>
    <s v="Shift 1"/>
    <s v="Drill"/>
    <s v="Welding"/>
    <n v="43"/>
    <n v="4"/>
    <s v="Bright Supplies"/>
    <n v="2"/>
    <x v="10"/>
  </r>
  <r>
    <s v="Steel Bolts"/>
    <s v="2024-01-25"/>
    <n v="644"/>
    <s v="Shift 3"/>
    <s v="Lathe"/>
    <s v="Welding"/>
    <n v="43"/>
    <n v="10"/>
    <s v="Bright Supplies"/>
    <n v="2"/>
    <x v="2"/>
  </r>
  <r>
    <s v="Steel Bolts"/>
    <s v="2024-01-02"/>
    <n v="1735"/>
    <s v="Shift 2"/>
    <s v="Cutter"/>
    <s v="Cutting"/>
    <n v="31"/>
    <n v="4"/>
    <s v="Alpha Metals"/>
    <n v="5"/>
    <x v="2"/>
  </r>
  <r>
    <s v="Copper Pipes"/>
    <s v="2024-03-30"/>
    <n v="524"/>
    <s v="Shift 1"/>
    <s v="Drill"/>
    <s v="Welding"/>
    <n v="5"/>
    <n v="10"/>
    <s v="Metro Steel"/>
    <n v="3"/>
    <x v="0"/>
  </r>
  <r>
    <s v="Aluminum Sheets"/>
    <s v="2024-07-31"/>
    <n v="1917"/>
    <s v="Shift 2"/>
    <s v="Drill"/>
    <s v="Welding"/>
    <n v="35"/>
    <n v="0"/>
    <s v="Alpha Metals"/>
    <n v="3"/>
    <x v="4"/>
  </r>
  <r>
    <s v="Aluminum Sheets"/>
    <s v="2024-11-14"/>
    <n v="566"/>
    <s v="Shift 3"/>
    <s v="Drill"/>
    <s v="Painting"/>
    <n v="37"/>
    <n v="5"/>
    <s v="Alpha Metals"/>
    <n v="4"/>
    <x v="8"/>
  </r>
  <r>
    <s v="Steel Bolts"/>
    <s v="2024-02-21"/>
    <n v="732"/>
    <s v="Shift 1"/>
    <s v="Cutter"/>
    <s v="Cutting"/>
    <n v="10"/>
    <n v="0"/>
    <s v="Bright Supplies"/>
    <n v="5"/>
    <x v="11"/>
  </r>
  <r>
    <s v="Steel Bolts"/>
    <s v="2024-12-04"/>
    <n v="608"/>
    <s v="Shift 1"/>
    <s v="Press"/>
    <s v="Painting"/>
    <n v="32"/>
    <n v="4"/>
    <s v="Metro Steel"/>
    <n v="2"/>
    <x v="10"/>
  </r>
  <r>
    <s v="Aluminum Sheets"/>
    <s v="2024-08-17"/>
    <n v="1669"/>
    <s v="Shift 1"/>
    <s v="Cutter"/>
    <s v="Assembly"/>
    <n v="23"/>
    <n v="8"/>
    <s v="QuickParts"/>
    <n v="0"/>
    <x v="7"/>
  </r>
  <r>
    <s v="Aluminum Sheets"/>
    <s v="2024-06-12"/>
    <n v="610"/>
    <s v="Shift 3"/>
    <s v="Lathe"/>
    <s v="Welding"/>
    <n v="22"/>
    <n v="4"/>
    <s v="Metro Steel"/>
    <n v="4"/>
    <x v="3"/>
  </r>
  <r>
    <s v="Copper Pipes"/>
    <s v="2024-10-26"/>
    <n v="727"/>
    <s v="Shift 2"/>
    <s v="Lathe"/>
    <s v="Assembly"/>
    <n v="14"/>
    <n v="5"/>
    <s v="Alpha Metals"/>
    <n v="0"/>
    <x v="1"/>
  </r>
  <r>
    <s v="Copper Pipes"/>
    <s v="2024-06-13"/>
    <n v="610"/>
    <s v="Shift 1"/>
    <s v="Cutter"/>
    <s v="Painting"/>
    <n v="26"/>
    <n v="7"/>
    <s v="Alpha Metals"/>
    <n v="3"/>
    <x v="3"/>
  </r>
  <r>
    <s v="Aluminum Sheets"/>
    <s v="2024-09-04"/>
    <n v="1993"/>
    <s v="Shift 3"/>
    <s v="Cutter"/>
    <s v="Welding"/>
    <n v="10"/>
    <n v="10"/>
    <s v="Alpha Metals"/>
    <n v="4"/>
    <x v="5"/>
  </r>
  <r>
    <s v="Copper Pipes"/>
    <s v="2024-01-30"/>
    <n v="533"/>
    <s v="Shift 2"/>
    <s v="Drill"/>
    <s v="Welding"/>
    <n v="50"/>
    <n v="0"/>
    <s v="Metro Steel"/>
    <n v="4"/>
    <x v="2"/>
  </r>
  <r>
    <s v="Copper Pipes"/>
    <s v="2024-07-16"/>
    <n v="1122"/>
    <s v="Shift 3"/>
    <s v="Cutter"/>
    <s v="Painting"/>
    <n v="49"/>
    <n v="1"/>
    <s v="Bright Supplies"/>
    <n v="1"/>
    <x v="4"/>
  </r>
  <r>
    <s v="Plastic Gears"/>
    <s v="2024-12-14"/>
    <n v="1892"/>
    <s v="Shift 2"/>
    <s v="Drill"/>
    <s v="Painting"/>
    <n v="16"/>
    <n v="8"/>
    <s v="Alpha Metals"/>
    <n v="3"/>
    <x v="10"/>
  </r>
  <r>
    <s v="Copper Pipes"/>
    <s v="2024-06-23"/>
    <n v="1247"/>
    <s v="Shift 3"/>
    <s v="Lathe"/>
    <s v="Painting"/>
    <n v="50"/>
    <n v="2"/>
    <s v="Alpha Metals"/>
    <n v="3"/>
    <x v="3"/>
  </r>
  <r>
    <s v="Steel Bolts"/>
    <s v="2024-02-20"/>
    <n v="1094"/>
    <s v="Shift 2"/>
    <s v="Drill"/>
    <s v="Painting"/>
    <n v="13"/>
    <n v="5"/>
    <s v="Metro Steel"/>
    <n v="5"/>
    <x v="11"/>
  </r>
  <r>
    <s v="Copper Pipes"/>
    <s v="2024-06-19"/>
    <n v="924"/>
    <s v="Shift 1"/>
    <s v="Cutter"/>
    <s v="Painting"/>
    <n v="26"/>
    <n v="4"/>
    <s v="QuickParts"/>
    <n v="4"/>
    <x v="3"/>
  </r>
  <r>
    <s v="Copper Pipes"/>
    <s v="2024-05-09"/>
    <n v="1112"/>
    <s v="Shift 2"/>
    <s v="Lathe"/>
    <s v="Welding"/>
    <n v="17"/>
    <n v="10"/>
    <s v="QuickParts"/>
    <n v="3"/>
    <x v="9"/>
  </r>
  <r>
    <s v="Aluminum Sheets"/>
    <s v="2024-03-03"/>
    <n v="1191"/>
    <s v="Shift 3"/>
    <s v="Press"/>
    <s v="Painting"/>
    <n v="27"/>
    <n v="1"/>
    <s v="Bright Supplies"/>
    <n v="4"/>
    <x v="0"/>
  </r>
  <r>
    <s v="Steel Bolts"/>
    <s v="2024-12-03"/>
    <n v="1805"/>
    <s v="Shift 3"/>
    <s v="Drill"/>
    <s v="Welding"/>
    <n v="50"/>
    <n v="6"/>
    <s v="Bright Supplies"/>
    <n v="5"/>
    <x v="10"/>
  </r>
  <r>
    <s v="Copper Pipes"/>
    <s v="2024-04-16"/>
    <n v="1843"/>
    <s v="Shift 2"/>
    <s v="Lathe"/>
    <s v="Welding"/>
    <n v="46"/>
    <n v="3"/>
    <s v="Alpha Metals"/>
    <n v="5"/>
    <x v="6"/>
  </r>
  <r>
    <s v="Copper Pipes"/>
    <s v="2024-10-19"/>
    <n v="1966"/>
    <s v="Shift 1"/>
    <s v="Drill"/>
    <s v="Painting"/>
    <n v="46"/>
    <n v="0"/>
    <s v="Metro Steel"/>
    <n v="1"/>
    <x v="1"/>
  </r>
  <r>
    <s v="Plastic Gears"/>
    <s v="2024-05-10"/>
    <n v="814"/>
    <s v="Shift 1"/>
    <s v="Lathe"/>
    <s v="Painting"/>
    <n v="3"/>
    <n v="3"/>
    <s v="Alpha Metals"/>
    <n v="4"/>
    <x v="9"/>
  </r>
  <r>
    <s v="Copper Pipes"/>
    <s v="2024-04-30"/>
    <n v="1376"/>
    <s v="Shift 2"/>
    <s v="Lathe"/>
    <s v="Cutting"/>
    <n v="6"/>
    <n v="5"/>
    <s v="Bright Supplies"/>
    <n v="3"/>
    <x v="6"/>
  </r>
  <r>
    <s v="Copper Pipes"/>
    <s v="2024-07-07"/>
    <n v="1900"/>
    <s v="Shift 2"/>
    <s v="Drill"/>
    <s v="Welding"/>
    <n v="44"/>
    <n v="6"/>
    <s v="Metro Steel"/>
    <n v="3"/>
    <x v="4"/>
  </r>
  <r>
    <s v="Plastic Gears"/>
    <s v="2024-11-21"/>
    <n v="1812"/>
    <s v="Shift 3"/>
    <s v="Press"/>
    <s v="Painting"/>
    <n v="34"/>
    <n v="6"/>
    <s v="Metro Steel"/>
    <n v="4"/>
    <x v="8"/>
  </r>
  <r>
    <s v="Aluminum Sheets"/>
    <s v="2024-10-13"/>
    <n v="1960"/>
    <s v="Shift 1"/>
    <s v="Lathe"/>
    <s v="Painting"/>
    <n v="47"/>
    <n v="6"/>
    <s v="Bright Supplies"/>
    <n v="4"/>
    <x v="1"/>
  </r>
  <r>
    <s v="Copper Pipes"/>
    <s v="2024-08-23"/>
    <n v="1161"/>
    <s v="Shift 2"/>
    <s v="Lathe"/>
    <s v="Painting"/>
    <n v="8"/>
    <n v="2"/>
    <s v="QuickParts"/>
    <n v="4"/>
    <x v="7"/>
  </r>
  <r>
    <s v="Plastic Gears"/>
    <s v="2024-03-18"/>
    <n v="776"/>
    <s v="Shift 1"/>
    <s v="Lathe"/>
    <s v="Cutting"/>
    <n v="7"/>
    <n v="5"/>
    <s v="QuickParts"/>
    <n v="2"/>
    <x v="0"/>
  </r>
  <r>
    <s v="Steel Bolts"/>
    <s v="2024-03-09"/>
    <n v="1123"/>
    <s v="Shift 2"/>
    <s v="Press"/>
    <s v="Cutting"/>
    <n v="44"/>
    <n v="7"/>
    <s v="Metro Steel"/>
    <n v="3"/>
    <x v="0"/>
  </r>
  <r>
    <s v="Aluminum Sheets"/>
    <s v="2024-02-07"/>
    <n v="1015"/>
    <s v="Shift 2"/>
    <s v="Press"/>
    <s v="Assembly"/>
    <n v="16"/>
    <n v="3"/>
    <s v="Alpha Metals"/>
    <n v="5"/>
    <x v="11"/>
  </r>
  <r>
    <s v="Steel Bolts"/>
    <s v="2024-12-26"/>
    <n v="1873"/>
    <s v="Shift 1"/>
    <s v="Cutter"/>
    <s v="Welding"/>
    <n v="16"/>
    <n v="7"/>
    <s v="QuickParts"/>
    <n v="3"/>
    <x v="10"/>
  </r>
  <r>
    <s v="Steel Bolts"/>
    <s v="2024-12-19"/>
    <n v="1342"/>
    <s v="Shift 2"/>
    <s v="Drill"/>
    <s v="Assembly"/>
    <n v="48"/>
    <n v="1"/>
    <s v="Alpha Metals"/>
    <n v="2"/>
    <x v="10"/>
  </r>
  <r>
    <s v="Plastic Gears"/>
    <s v="2024-12-01"/>
    <n v="1969"/>
    <s v="Shift 2"/>
    <s v="Press"/>
    <s v="Painting"/>
    <n v="32"/>
    <n v="9"/>
    <s v="QuickParts"/>
    <n v="4"/>
    <x v="10"/>
  </r>
  <r>
    <s v="Copper Pipes"/>
    <s v="2024-05-19"/>
    <n v="849"/>
    <s v="Shift 3"/>
    <s v="Drill"/>
    <s v="Cutting"/>
    <n v="31"/>
    <n v="8"/>
    <s v="QuickParts"/>
    <n v="1"/>
    <x v="9"/>
  </r>
  <r>
    <s v="Plastic Gears"/>
    <s v="2024-04-28"/>
    <n v="1322"/>
    <s v="Shift 2"/>
    <s v="Cutter"/>
    <s v="Cutting"/>
    <n v="7"/>
    <n v="8"/>
    <s v="Alpha Metals"/>
    <n v="4"/>
    <x v="6"/>
  </r>
  <r>
    <s v="Plastic Gears"/>
    <s v="2024-07-18"/>
    <n v="1660"/>
    <s v="Shift 2"/>
    <s v="Drill"/>
    <s v="Assembly"/>
    <n v="18"/>
    <n v="7"/>
    <s v="Bright Supplies"/>
    <n v="4"/>
    <x v="4"/>
  </r>
  <r>
    <s v="Plastic Gears"/>
    <s v="2024-04-29"/>
    <n v="1258"/>
    <s v="Shift 2"/>
    <s v="Press"/>
    <s v="Cutting"/>
    <n v="37"/>
    <n v="9"/>
    <s v="QuickParts"/>
    <n v="2"/>
    <x v="6"/>
  </r>
  <r>
    <s v="Plastic Gears"/>
    <s v="2024-06-15"/>
    <n v="1398"/>
    <s v="Shift 3"/>
    <s v="Drill"/>
    <s v="Painting"/>
    <n v="2"/>
    <n v="9"/>
    <s v="QuickParts"/>
    <n v="3"/>
    <x v="3"/>
  </r>
  <r>
    <s v="Aluminum Sheets"/>
    <s v="2024-11-20"/>
    <n v="742"/>
    <s v="Shift 1"/>
    <s v="Press"/>
    <s v="Cutting"/>
    <n v="4"/>
    <n v="0"/>
    <s v="Alpha Metals"/>
    <n v="4"/>
    <x v="8"/>
  </r>
  <r>
    <s v="Copper Pipes"/>
    <s v="2024-05-14"/>
    <n v="1042"/>
    <s v="Shift 3"/>
    <s v="Drill"/>
    <s v="Assembly"/>
    <n v="12"/>
    <n v="1"/>
    <s v="Bright Supplies"/>
    <n v="3"/>
    <x v="9"/>
  </r>
  <r>
    <s v="Steel Bolts"/>
    <s v="2024-03-23"/>
    <n v="1563"/>
    <s v="Shift 3"/>
    <s v="Press"/>
    <s v="Painting"/>
    <n v="46"/>
    <n v="5"/>
    <s v="QuickParts"/>
    <n v="0"/>
    <x v="0"/>
  </r>
  <r>
    <s v="Steel Bolts"/>
    <s v="2024-12-29"/>
    <n v="728"/>
    <s v="Shift 1"/>
    <s v="Press"/>
    <s v="Assembly"/>
    <n v="45"/>
    <n v="9"/>
    <s v="QuickParts"/>
    <n v="5"/>
    <x v="10"/>
  </r>
  <r>
    <s v="Copper Pipes"/>
    <s v="2024-07-26"/>
    <n v="1047"/>
    <s v="Shift 3"/>
    <s v="Drill"/>
    <s v="Cutting"/>
    <n v="30"/>
    <n v="4"/>
    <s v="Bright Supplies"/>
    <n v="3"/>
    <x v="4"/>
  </r>
  <r>
    <s v="Steel Bolts"/>
    <s v="2024-01-30"/>
    <n v="1419"/>
    <s v="Shift 1"/>
    <s v="Cutter"/>
    <s v="Assembly"/>
    <n v="15"/>
    <n v="8"/>
    <s v="QuickParts"/>
    <n v="1"/>
    <x v="2"/>
  </r>
  <r>
    <s v="Copper Pipes"/>
    <s v="2024-05-27"/>
    <n v="1746"/>
    <s v="Shift 3"/>
    <s v="Lathe"/>
    <s v="Assembly"/>
    <n v="49"/>
    <n v="4"/>
    <s v="Bright Supplies"/>
    <n v="5"/>
    <x v="9"/>
  </r>
  <r>
    <s v="Steel Bolts"/>
    <s v="2024-01-29"/>
    <n v="505"/>
    <s v="Shift 1"/>
    <s v="Cutter"/>
    <s v="Welding"/>
    <n v="31"/>
    <n v="1"/>
    <s v="Bright Supplies"/>
    <n v="1"/>
    <x v="2"/>
  </r>
  <r>
    <s v="Plastic Gears"/>
    <s v="2024-05-31"/>
    <n v="1845"/>
    <s v="Shift 2"/>
    <s v="Drill"/>
    <s v="Cutting"/>
    <n v="21"/>
    <n v="9"/>
    <s v="Alpha Metals"/>
    <n v="4"/>
    <x v="9"/>
  </r>
  <r>
    <s v="Steel Bolts"/>
    <s v="2024-03-13"/>
    <n v="967"/>
    <s v="Shift 3"/>
    <s v="Cutter"/>
    <s v="Cutting"/>
    <n v="28"/>
    <n v="3"/>
    <s v="Metro Steel"/>
    <n v="5"/>
    <x v="0"/>
  </r>
  <r>
    <s v="Copper Pipes"/>
    <s v="2024-05-07"/>
    <n v="574"/>
    <s v="Shift 3"/>
    <s v="Press"/>
    <s v="Assembly"/>
    <n v="21"/>
    <n v="8"/>
    <s v="Bright Supplies"/>
    <n v="3"/>
    <x v="9"/>
  </r>
  <r>
    <s v="Copper Pipes"/>
    <s v="2024-09-16"/>
    <n v="503"/>
    <s v="Shift 3"/>
    <s v="Lathe"/>
    <s v="Welding"/>
    <n v="42"/>
    <n v="0"/>
    <s v="Alpha Metals"/>
    <n v="5"/>
    <x v="5"/>
  </r>
  <r>
    <s v="Copper Pipes"/>
    <s v="2024-01-05"/>
    <n v="1145"/>
    <s v="Shift 3"/>
    <s v="Drill"/>
    <s v="Cutting"/>
    <n v="2"/>
    <n v="10"/>
    <s v="Metro Steel"/>
    <n v="4"/>
    <x v="2"/>
  </r>
  <r>
    <s v="Copper Pipes"/>
    <s v="2024-12-03"/>
    <n v="617"/>
    <s v="Shift 2"/>
    <s v="Drill"/>
    <s v="Painting"/>
    <n v="9"/>
    <n v="0"/>
    <s v="QuickParts"/>
    <n v="2"/>
    <x v="10"/>
  </r>
  <r>
    <s v="Copper Pipes"/>
    <s v="2024-07-04"/>
    <n v="1380"/>
    <s v="Shift 3"/>
    <s v="Drill"/>
    <s v="Assembly"/>
    <n v="41"/>
    <n v="6"/>
    <s v="Metro Steel"/>
    <n v="1"/>
    <x v="4"/>
  </r>
  <r>
    <s v="Aluminum Sheets"/>
    <s v="2024-08-23"/>
    <n v="1003"/>
    <s v="Shift 2"/>
    <s v="Lathe"/>
    <s v="Cutting"/>
    <n v="20"/>
    <n v="10"/>
    <s v="Bright Supplies"/>
    <n v="4"/>
    <x v="7"/>
  </r>
  <r>
    <s v="Aluminum Sheets"/>
    <s v="2024-12-07"/>
    <n v="1446"/>
    <s v="Shift 2"/>
    <s v="Press"/>
    <s v="Painting"/>
    <n v="15"/>
    <n v="2"/>
    <s v="Bright Supplies"/>
    <n v="2"/>
    <x v="10"/>
  </r>
  <r>
    <s v="Steel Bolts"/>
    <s v="2024-07-04"/>
    <n v="1073"/>
    <s v="Shift 2"/>
    <s v="Drill"/>
    <s v="Cutting"/>
    <n v="11"/>
    <n v="9"/>
    <s v="Bright Supplies"/>
    <n v="5"/>
    <x v="4"/>
  </r>
  <r>
    <s v="Copper Pipes"/>
    <s v="2024-02-08"/>
    <n v="1964"/>
    <s v="Shift 2"/>
    <s v="Cutter"/>
    <s v="Painting"/>
    <n v="1"/>
    <n v="1"/>
    <s v="Bright Supplies"/>
    <n v="5"/>
    <x v="11"/>
  </r>
  <r>
    <s v="Steel Bolts"/>
    <s v="2024-12-23"/>
    <n v="693"/>
    <s v="Shift 1"/>
    <s v="Drill"/>
    <s v="Assembly"/>
    <n v="40"/>
    <n v="8"/>
    <s v="Bright Supplies"/>
    <n v="4"/>
    <x v="10"/>
  </r>
  <r>
    <s v="Copper Pipes"/>
    <s v="2024-08-17"/>
    <n v="1346"/>
    <s v="Shift 1"/>
    <s v="Drill"/>
    <s v="Cutting"/>
    <n v="23"/>
    <n v="2"/>
    <s v="Alpha Metals"/>
    <n v="3"/>
    <x v="7"/>
  </r>
  <r>
    <s v="Copper Pipes"/>
    <s v="2024-11-16"/>
    <n v="1214"/>
    <s v="Shift 3"/>
    <s v="Drill"/>
    <s v="Cutting"/>
    <n v="34"/>
    <n v="1"/>
    <s v="Bright Supplies"/>
    <n v="5"/>
    <x v="8"/>
  </r>
  <r>
    <s v="Aluminum Sheets"/>
    <s v="2024-10-26"/>
    <n v="1915"/>
    <s v="Shift 1"/>
    <s v="Drill"/>
    <s v="Welding"/>
    <n v="29"/>
    <n v="7"/>
    <s v="Alpha Metals"/>
    <n v="3"/>
    <x v="1"/>
  </r>
  <r>
    <s v="Aluminum Sheets"/>
    <s v="2024-06-30"/>
    <n v="1549"/>
    <s v="Shift 1"/>
    <s v="Press"/>
    <s v="Assembly"/>
    <n v="29"/>
    <n v="9"/>
    <s v="QuickParts"/>
    <n v="3"/>
    <x v="3"/>
  </r>
  <r>
    <s v="Plastic Gears"/>
    <s v="2024-11-21"/>
    <n v="1958"/>
    <s v="Shift 3"/>
    <s v="Cutter"/>
    <s v="Painting"/>
    <n v="46"/>
    <n v="5"/>
    <s v="Bright Supplies"/>
    <n v="3"/>
    <x v="8"/>
  </r>
  <r>
    <s v="Aluminum Sheets"/>
    <s v="2024-03-24"/>
    <n v="672"/>
    <s v="Shift 3"/>
    <s v="Press"/>
    <s v="Cutting"/>
    <n v="34"/>
    <n v="5"/>
    <s v="Bright Supplies"/>
    <n v="0"/>
    <x v="0"/>
  </r>
  <r>
    <s v="Plastic Gears"/>
    <s v="2024-03-27"/>
    <n v="1823"/>
    <s v="Shift 3"/>
    <s v="Cutter"/>
    <s v="Cutting"/>
    <n v="18"/>
    <n v="9"/>
    <s v="Metro Steel"/>
    <n v="2"/>
    <x v="0"/>
  </r>
  <r>
    <s v="Plastic Gears"/>
    <s v="2024-02-26"/>
    <n v="825"/>
    <s v="Shift 1"/>
    <s v="Drill"/>
    <s v="Painting"/>
    <n v="49"/>
    <n v="10"/>
    <s v="QuickParts"/>
    <n v="2"/>
    <x v="11"/>
  </r>
  <r>
    <s v="Plastic Gears"/>
    <s v="2024-10-06"/>
    <n v="1933"/>
    <s v="Shift 1"/>
    <s v="Lathe"/>
    <s v="Assembly"/>
    <n v="7"/>
    <n v="6"/>
    <s v="Bright Supplies"/>
    <n v="5"/>
    <x v="1"/>
  </r>
  <r>
    <s v="Plastic Gears"/>
    <s v="2024-10-13"/>
    <n v="1641"/>
    <s v="Shift 3"/>
    <s v="Press"/>
    <s v="Welding"/>
    <n v="25"/>
    <n v="6"/>
    <s v="Bright Supplies"/>
    <n v="5"/>
    <x v="1"/>
  </r>
  <r>
    <s v="Plastic Gears"/>
    <s v="2024-12-02"/>
    <n v="1335"/>
    <s v="Shift 2"/>
    <s v="Lathe"/>
    <s v="Welding"/>
    <n v="48"/>
    <n v="10"/>
    <s v="QuickParts"/>
    <n v="3"/>
    <x v="10"/>
  </r>
  <r>
    <s v="Steel Bolts"/>
    <s v="2024-11-04"/>
    <n v="1223"/>
    <s v="Shift 3"/>
    <s v="Press"/>
    <s v="Cutting"/>
    <n v="39"/>
    <n v="5"/>
    <s v="Alpha Metals"/>
    <n v="0"/>
    <x v="8"/>
  </r>
  <r>
    <s v="Aluminum Sheets"/>
    <s v="2024-11-29"/>
    <n v="724"/>
    <s v="Shift 2"/>
    <s v="Drill"/>
    <s v="Painting"/>
    <n v="6"/>
    <n v="3"/>
    <s v="Bright Supplies"/>
    <n v="3"/>
    <x v="8"/>
  </r>
  <r>
    <s v="Plastic Gears"/>
    <s v="2024-03-27"/>
    <n v="1031"/>
    <s v="Shift 2"/>
    <s v="Press"/>
    <s v="Cutting"/>
    <n v="29"/>
    <n v="10"/>
    <s v="Metro Steel"/>
    <n v="0"/>
    <x v="0"/>
  </r>
  <r>
    <s v="Copper Pipes"/>
    <s v="2024-01-24"/>
    <n v="612"/>
    <s v="Shift 3"/>
    <s v="Drill"/>
    <s v="Painting"/>
    <n v="6"/>
    <n v="8"/>
    <s v="Bright Supplies"/>
    <n v="3"/>
    <x v="2"/>
  </r>
  <r>
    <s v="Aluminum Sheets"/>
    <s v="2024-07-11"/>
    <n v="639"/>
    <s v="Shift 3"/>
    <s v="Press"/>
    <s v="Welding"/>
    <n v="2"/>
    <n v="5"/>
    <s v="Metro Steel"/>
    <n v="1"/>
    <x v="4"/>
  </r>
  <r>
    <s v="Aluminum Sheets"/>
    <s v="2024-01-19"/>
    <n v="1058"/>
    <s v="Shift 3"/>
    <s v="Drill"/>
    <s v="Assembly"/>
    <n v="0"/>
    <n v="3"/>
    <s v="Metro Steel"/>
    <n v="1"/>
    <x v="2"/>
  </r>
  <r>
    <s v="Plastic Gears"/>
    <s v="2024-01-11"/>
    <n v="500"/>
    <s v="Shift 1"/>
    <s v="Drill"/>
    <s v="Painting"/>
    <n v="35"/>
    <n v="2"/>
    <s v="Bright Supplies"/>
    <n v="4"/>
    <x v="2"/>
  </r>
  <r>
    <s v="Steel Bolts"/>
    <s v="2024-11-21"/>
    <n v="589"/>
    <s v="Shift 2"/>
    <s v="Cutter"/>
    <s v="Welding"/>
    <n v="24"/>
    <n v="3"/>
    <s v="Bright Supplies"/>
    <n v="3"/>
    <x v="8"/>
  </r>
  <r>
    <s v="Plastic Gears"/>
    <s v="2024-11-08"/>
    <n v="1153"/>
    <s v="Shift 1"/>
    <s v="Drill"/>
    <s v="Cutting"/>
    <n v="36"/>
    <n v="2"/>
    <s v="Metro Steel"/>
    <n v="5"/>
    <x v="8"/>
  </r>
  <r>
    <s v="Steel Bolts"/>
    <s v="2024-11-05"/>
    <n v="819"/>
    <s v="Shift 1"/>
    <s v="Cutter"/>
    <s v="Painting"/>
    <n v="0"/>
    <n v="1"/>
    <s v="QuickParts"/>
    <n v="2"/>
    <x v="8"/>
  </r>
  <r>
    <s v="Copper Pipes"/>
    <s v="2024-11-21"/>
    <n v="638"/>
    <s v="Shift 3"/>
    <s v="Drill"/>
    <s v="Assembly"/>
    <n v="14"/>
    <n v="4"/>
    <s v="QuickParts"/>
    <n v="4"/>
    <x v="8"/>
  </r>
  <r>
    <s v="Aluminum Sheets"/>
    <s v="2024-01-08"/>
    <n v="1344"/>
    <s v="Shift 1"/>
    <s v="Lathe"/>
    <s v="Cutting"/>
    <n v="36"/>
    <n v="1"/>
    <s v="Bright Supplies"/>
    <n v="5"/>
    <x v="2"/>
  </r>
  <r>
    <s v="Copper Pipes"/>
    <s v="2024-12-14"/>
    <n v="758"/>
    <s v="Shift 3"/>
    <s v="Drill"/>
    <s v="Cutting"/>
    <n v="12"/>
    <n v="5"/>
    <s v="Alpha Metals"/>
    <n v="1"/>
    <x v="10"/>
  </r>
  <r>
    <s v="Steel Bolts"/>
    <s v="2024-11-14"/>
    <n v="1401"/>
    <s v="Shift 2"/>
    <s v="Lathe"/>
    <s v="Welding"/>
    <n v="39"/>
    <n v="2"/>
    <s v="QuickParts"/>
    <n v="3"/>
    <x v="8"/>
  </r>
  <r>
    <s v="Steel Bolts"/>
    <s v="2024-04-11"/>
    <n v="1189"/>
    <s v="Shift 3"/>
    <s v="Lathe"/>
    <s v="Painting"/>
    <n v="7"/>
    <n v="5"/>
    <s v="Bright Supplies"/>
    <n v="4"/>
    <x v="6"/>
  </r>
  <r>
    <s v="Copper Pipes"/>
    <s v="2024-04-18"/>
    <n v="509"/>
    <s v="Shift 1"/>
    <s v="Drill"/>
    <s v="Cutting"/>
    <n v="4"/>
    <n v="10"/>
    <s v="QuickParts"/>
    <n v="3"/>
    <x v="6"/>
  </r>
  <r>
    <s v="Steel Bolts"/>
    <s v="2024-07-13"/>
    <n v="760"/>
    <s v="Shift 1"/>
    <s v="Lathe"/>
    <s v="Assembly"/>
    <n v="8"/>
    <n v="9"/>
    <s v="Alpha Metals"/>
    <n v="1"/>
    <x v="4"/>
  </r>
  <r>
    <s v="Copper Pipes"/>
    <s v="2024-03-03"/>
    <n v="671"/>
    <s v="Shift 3"/>
    <s v="Cutter"/>
    <s v="Painting"/>
    <n v="0"/>
    <n v="8"/>
    <s v="Bright Supplies"/>
    <n v="4"/>
    <x v="0"/>
  </r>
  <r>
    <s v="Aluminum Sheets"/>
    <s v="2024-09-01"/>
    <n v="1397"/>
    <s v="Shift 3"/>
    <s v="Press"/>
    <s v="Assembly"/>
    <n v="35"/>
    <n v="0"/>
    <s v="Alpha Metals"/>
    <n v="1"/>
    <x v="5"/>
  </r>
  <r>
    <s v="Copper Pipes"/>
    <s v="2024-04-20"/>
    <n v="512"/>
    <s v="Shift 1"/>
    <s v="Drill"/>
    <s v="Cutting"/>
    <n v="34"/>
    <n v="5"/>
    <s v="Bright Supplies"/>
    <n v="0"/>
    <x v="6"/>
  </r>
  <r>
    <s v="Aluminum Sheets"/>
    <s v="2024-12-05"/>
    <n v="1691"/>
    <s v="Shift 2"/>
    <s v="Lathe"/>
    <s v="Assembly"/>
    <n v="1"/>
    <n v="8"/>
    <s v="Alpha Metals"/>
    <n v="1"/>
    <x v="10"/>
  </r>
  <r>
    <s v="Copper Pipes"/>
    <s v="2024-02-15"/>
    <n v="820"/>
    <s v="Shift 2"/>
    <s v="Drill"/>
    <s v="Welding"/>
    <n v="39"/>
    <n v="10"/>
    <s v="QuickParts"/>
    <n v="3"/>
    <x v="11"/>
  </r>
  <r>
    <s v="Steel Bolts"/>
    <s v="2024-07-11"/>
    <n v="1842"/>
    <s v="Shift 3"/>
    <s v="Cutter"/>
    <s v="Assembly"/>
    <n v="22"/>
    <n v="3"/>
    <s v="QuickParts"/>
    <n v="2"/>
    <x v="4"/>
  </r>
  <r>
    <s v="Copper Pipes"/>
    <s v="2024-03-19"/>
    <n v="828"/>
    <s v="Shift 2"/>
    <s v="Drill"/>
    <s v="Painting"/>
    <n v="8"/>
    <n v="10"/>
    <s v="Alpha Metals"/>
    <n v="1"/>
    <x v="0"/>
  </r>
  <r>
    <s v="Steel Bolts"/>
    <s v="2024-03-27"/>
    <n v="1284"/>
    <s v="Shift 1"/>
    <s v="Drill"/>
    <s v="Assembly"/>
    <n v="33"/>
    <n v="1"/>
    <s v="Alpha Metals"/>
    <n v="5"/>
    <x v="0"/>
  </r>
  <r>
    <s v="Copper Pipes"/>
    <s v="2024-09-04"/>
    <n v="1276"/>
    <s v="Shift 3"/>
    <s v="Lathe"/>
    <s v="Assembly"/>
    <n v="45"/>
    <n v="3"/>
    <s v="Alpha Metals"/>
    <n v="2"/>
    <x v="5"/>
  </r>
  <r>
    <s v="Copper Pipes"/>
    <s v="2024-04-12"/>
    <n v="1410"/>
    <s v="Shift 1"/>
    <s v="Cutter"/>
    <s v="Welding"/>
    <n v="13"/>
    <n v="0"/>
    <s v="Bright Supplies"/>
    <n v="0"/>
    <x v="6"/>
  </r>
  <r>
    <s v="Plastic Gears"/>
    <s v="2024-10-07"/>
    <n v="1942"/>
    <s v="Shift 1"/>
    <s v="Press"/>
    <s v="Assembly"/>
    <n v="3"/>
    <n v="2"/>
    <s v="QuickParts"/>
    <n v="4"/>
    <x v="1"/>
  </r>
  <r>
    <s v="Steel Bolts"/>
    <s v="2024-05-15"/>
    <n v="1618"/>
    <s v="Shift 2"/>
    <s v="Press"/>
    <s v="Assembly"/>
    <n v="29"/>
    <n v="9"/>
    <s v="Bright Supplies"/>
    <n v="4"/>
    <x v="9"/>
  </r>
  <r>
    <s v="Plastic Gears"/>
    <s v="2024-08-10"/>
    <n v="817"/>
    <s v="Shift 3"/>
    <s v="Lathe"/>
    <s v="Cutting"/>
    <n v="30"/>
    <n v="8"/>
    <s v="QuickParts"/>
    <n v="2"/>
    <x v="7"/>
  </r>
  <r>
    <s v="Steel Bolts"/>
    <s v="2024-12-28"/>
    <n v="735"/>
    <s v="Shift 3"/>
    <s v="Drill"/>
    <s v="Cutting"/>
    <n v="37"/>
    <n v="9"/>
    <s v="Metro Steel"/>
    <n v="4"/>
    <x v="10"/>
  </r>
  <r>
    <s v="Plastic Gears"/>
    <s v="2024-10-30"/>
    <n v="833"/>
    <s v="Shift 2"/>
    <s v="Lathe"/>
    <s v="Painting"/>
    <n v="10"/>
    <n v="4"/>
    <s v="Bright Supplies"/>
    <n v="1"/>
    <x v="1"/>
  </r>
  <r>
    <s v="Aluminum Sheets"/>
    <s v="2024-05-15"/>
    <n v="875"/>
    <s v="Shift 1"/>
    <s v="Lathe"/>
    <s v="Cutting"/>
    <n v="34"/>
    <n v="10"/>
    <s v="QuickParts"/>
    <n v="2"/>
    <x v="9"/>
  </r>
  <r>
    <s v="Copper Pipes"/>
    <s v="2024-06-04"/>
    <n v="1982"/>
    <s v="Shift 1"/>
    <s v="Lathe"/>
    <s v="Cutting"/>
    <n v="7"/>
    <n v="5"/>
    <s v="QuickParts"/>
    <n v="3"/>
    <x v="3"/>
  </r>
  <r>
    <s v="Steel Bolts"/>
    <s v="2024-02-24"/>
    <n v="1660"/>
    <s v="Shift 1"/>
    <s v="Drill"/>
    <s v="Cutting"/>
    <n v="2"/>
    <n v="2"/>
    <s v="Bright Supplies"/>
    <n v="1"/>
    <x v="11"/>
  </r>
  <r>
    <s v="Steel Bolts"/>
    <s v="2024-07-16"/>
    <n v="1087"/>
    <s v="Shift 1"/>
    <s v="Cutter"/>
    <s v="Cutting"/>
    <n v="13"/>
    <n v="4"/>
    <s v="Bright Supplies"/>
    <n v="1"/>
    <x v="4"/>
  </r>
  <r>
    <s v="Copper Pipes"/>
    <s v="2024-04-29"/>
    <n v="1012"/>
    <s v="Shift 3"/>
    <s v="Lathe"/>
    <s v="Welding"/>
    <n v="12"/>
    <n v="10"/>
    <s v="QuickParts"/>
    <n v="1"/>
    <x v="6"/>
  </r>
  <r>
    <s v="Steel Bolts"/>
    <s v="2024-12-04"/>
    <n v="1819"/>
    <s v="Shift 3"/>
    <s v="Drill"/>
    <s v="Cutting"/>
    <n v="44"/>
    <n v="7"/>
    <s v="Bright Supplies"/>
    <n v="3"/>
    <x v="10"/>
  </r>
  <r>
    <s v="Steel Bolts"/>
    <s v="2024-11-21"/>
    <n v="1843"/>
    <s v="Shift 2"/>
    <s v="Cutter"/>
    <s v="Welding"/>
    <n v="31"/>
    <n v="5"/>
    <s v="Alpha Metals"/>
    <n v="0"/>
    <x v="8"/>
  </r>
  <r>
    <s v="Plastic Gears"/>
    <s v="2024-01-23"/>
    <n v="1417"/>
    <s v="Shift 2"/>
    <s v="Lathe"/>
    <s v="Welding"/>
    <n v="33"/>
    <n v="3"/>
    <s v="Bright Supplies"/>
    <n v="5"/>
    <x v="2"/>
  </r>
  <r>
    <s v="Steel Bolts"/>
    <s v="2024-03-16"/>
    <n v="1872"/>
    <s v="Shift 3"/>
    <s v="Press"/>
    <s v="Cutting"/>
    <n v="44"/>
    <n v="1"/>
    <s v="Bright Supplies"/>
    <n v="4"/>
    <x v="0"/>
  </r>
  <r>
    <s v="Aluminum Sheets"/>
    <s v="2024-12-03"/>
    <n v="1372"/>
    <s v="Shift 3"/>
    <s v="Cutter"/>
    <s v="Assembly"/>
    <n v="18"/>
    <n v="8"/>
    <s v="Bright Supplies"/>
    <n v="2"/>
    <x v="10"/>
  </r>
  <r>
    <s v="Aluminum Sheets"/>
    <s v="2024-06-30"/>
    <n v="1752"/>
    <s v="Shift 1"/>
    <s v="Lathe"/>
    <s v="Welding"/>
    <n v="37"/>
    <n v="0"/>
    <s v="QuickParts"/>
    <n v="0"/>
    <x v="3"/>
  </r>
  <r>
    <s v="Copper Pipes"/>
    <s v="2024-11-24"/>
    <n v="769"/>
    <s v="Shift 1"/>
    <s v="Cutter"/>
    <s v="Assembly"/>
    <n v="15"/>
    <n v="0"/>
    <s v="Alpha Metals"/>
    <n v="2"/>
    <x v="8"/>
  </r>
  <r>
    <s v="Steel Bolts"/>
    <s v="2024-11-15"/>
    <n v="1297"/>
    <s v="Shift 2"/>
    <s v="Cutter"/>
    <s v="Assembly"/>
    <n v="1"/>
    <n v="3"/>
    <s v="Metro Steel"/>
    <n v="4"/>
    <x v="8"/>
  </r>
  <r>
    <s v="Copper Pipes"/>
    <s v="2024-09-09"/>
    <n v="1814"/>
    <s v="Shift 3"/>
    <s v="Cutter"/>
    <s v="Cutting"/>
    <n v="39"/>
    <n v="6"/>
    <s v="Metro Steel"/>
    <n v="3"/>
    <x v="5"/>
  </r>
  <r>
    <s v="Aluminum Sheets"/>
    <s v="2024-08-19"/>
    <n v="1224"/>
    <s v="Shift 2"/>
    <s v="Cutter"/>
    <s v="Painting"/>
    <n v="16"/>
    <n v="0"/>
    <s v="Alpha Metals"/>
    <n v="1"/>
    <x v="7"/>
  </r>
  <r>
    <s v="Steel Bolts"/>
    <s v="2024-03-17"/>
    <n v="1688"/>
    <s v="Shift 3"/>
    <s v="Cutter"/>
    <s v="Cutting"/>
    <n v="33"/>
    <n v="8"/>
    <s v="Alpha Metals"/>
    <n v="1"/>
    <x v="0"/>
  </r>
  <r>
    <s v="Steel Bolts"/>
    <s v="2024-05-19"/>
    <n v="504"/>
    <s v="Shift 1"/>
    <s v="Cutter"/>
    <s v="Painting"/>
    <n v="41"/>
    <n v="3"/>
    <s v="Alpha Metals"/>
    <n v="3"/>
    <x v="9"/>
  </r>
  <r>
    <s v="Copper Pipes"/>
    <s v="2024-08-10"/>
    <n v="1350"/>
    <s v="Shift 2"/>
    <s v="Lathe"/>
    <s v="Painting"/>
    <n v="15"/>
    <n v="2"/>
    <s v="QuickParts"/>
    <n v="0"/>
    <x v="7"/>
  </r>
  <r>
    <s v="Aluminum Sheets"/>
    <s v="2024-12-24"/>
    <n v="1902"/>
    <s v="Shift 2"/>
    <s v="Press"/>
    <s v="Cutting"/>
    <n v="37"/>
    <n v="0"/>
    <s v="Metro Steel"/>
    <n v="0"/>
    <x v="10"/>
  </r>
  <r>
    <s v="Steel Bolts"/>
    <s v="2024-11-01"/>
    <n v="577"/>
    <s v="Shift 3"/>
    <s v="Drill"/>
    <s v="Cutting"/>
    <n v="1"/>
    <n v="9"/>
    <s v="Alpha Metals"/>
    <n v="2"/>
    <x v="8"/>
  </r>
  <r>
    <s v="Copper Pipes"/>
    <s v="2024-08-29"/>
    <n v="1933"/>
    <s v="Shift 1"/>
    <s v="Cutter"/>
    <s v="Painting"/>
    <n v="1"/>
    <n v="3"/>
    <s v="QuickParts"/>
    <n v="3"/>
    <x v="7"/>
  </r>
  <r>
    <s v="Aluminum Sheets"/>
    <s v="2024-09-23"/>
    <n v="1073"/>
    <s v="Shift 2"/>
    <s v="Drill"/>
    <s v="Cutting"/>
    <n v="25"/>
    <n v="8"/>
    <s v="Metro Steel"/>
    <n v="0"/>
    <x v="5"/>
  </r>
  <r>
    <s v="Copper Pipes"/>
    <s v="2024-12-01"/>
    <n v="631"/>
    <s v="Shift 1"/>
    <s v="Lathe"/>
    <s v="Painting"/>
    <n v="12"/>
    <n v="9"/>
    <s v="Bright Supplies"/>
    <n v="3"/>
    <x v="10"/>
  </r>
  <r>
    <s v="Plastic Gears"/>
    <s v="2024-08-14"/>
    <n v="1100"/>
    <s v="Shift 2"/>
    <s v="Cutter"/>
    <s v="Assembly"/>
    <n v="46"/>
    <n v="5"/>
    <s v="QuickParts"/>
    <n v="4"/>
    <x v="7"/>
  </r>
  <r>
    <s v="Steel Bolts"/>
    <s v="2024-12-08"/>
    <n v="1565"/>
    <s v="Shift 1"/>
    <s v="Press"/>
    <s v="Cutting"/>
    <n v="30"/>
    <n v="5"/>
    <s v="Metro Steel"/>
    <n v="1"/>
    <x v="10"/>
  </r>
  <r>
    <s v="Plastic Gears"/>
    <s v="2024-01-02"/>
    <n v="588"/>
    <s v="Shift 3"/>
    <s v="Drill"/>
    <s v="Assembly"/>
    <n v="33"/>
    <n v="0"/>
    <s v="QuickParts"/>
    <n v="1"/>
    <x v="2"/>
  </r>
  <r>
    <s v="Aluminum Sheets"/>
    <s v="2024-04-24"/>
    <n v="901"/>
    <s v="Shift 2"/>
    <s v="Cutter"/>
    <s v="Welding"/>
    <n v="38"/>
    <n v="9"/>
    <s v="Metro Steel"/>
    <n v="1"/>
    <x v="6"/>
  </r>
  <r>
    <s v="Plastic Gears"/>
    <s v="2024-12-07"/>
    <n v="795"/>
    <s v="Shift 2"/>
    <s v="Lathe"/>
    <s v="Assembly"/>
    <n v="2"/>
    <n v="1"/>
    <s v="Metro Steel"/>
    <n v="3"/>
    <x v="10"/>
  </r>
  <r>
    <s v="Plastic Gears"/>
    <s v="2024-06-10"/>
    <n v="1818"/>
    <s v="Shift 1"/>
    <s v="Press"/>
    <s v="Assembly"/>
    <n v="7"/>
    <n v="10"/>
    <s v="Bright Supplies"/>
    <n v="3"/>
    <x v="3"/>
  </r>
  <r>
    <s v="Aluminum Sheets"/>
    <s v="2024-06-28"/>
    <n v="1115"/>
    <s v="Shift 1"/>
    <s v="Drill"/>
    <s v="Painting"/>
    <n v="22"/>
    <n v="5"/>
    <s v="QuickParts"/>
    <n v="2"/>
    <x v="3"/>
  </r>
  <r>
    <s v="Copper Pipes"/>
    <s v="2024-09-10"/>
    <n v="1299"/>
    <s v="Shift 2"/>
    <s v="Drill"/>
    <s v="Assembly"/>
    <n v="13"/>
    <n v="1"/>
    <s v="Alpha Metals"/>
    <n v="1"/>
    <x v="5"/>
  </r>
  <r>
    <s v="Plastic Gears"/>
    <s v="2024-07-22"/>
    <n v="921"/>
    <s v="Shift 3"/>
    <s v="Cutter"/>
    <s v="Cutting"/>
    <n v="26"/>
    <n v="2"/>
    <s v="Bright Supplies"/>
    <n v="2"/>
    <x v="4"/>
  </r>
  <r>
    <s v="Copper Pipes"/>
    <s v="2024-09-01"/>
    <n v="1546"/>
    <s v="Shift 1"/>
    <s v="Press"/>
    <s v="Painting"/>
    <n v="28"/>
    <n v="3"/>
    <s v="Bright Supplies"/>
    <n v="1"/>
    <x v="5"/>
  </r>
  <r>
    <s v="Plastic Gears"/>
    <s v="2024-09-14"/>
    <n v="1074"/>
    <s v="Shift 1"/>
    <s v="Press"/>
    <s v="Welding"/>
    <n v="38"/>
    <n v="10"/>
    <s v="Metro Steel"/>
    <n v="2"/>
    <x v="5"/>
  </r>
  <r>
    <s v="Copper Pipes"/>
    <s v="2024-02-19"/>
    <n v="642"/>
    <s v="Shift 1"/>
    <s v="Press"/>
    <s v="Cutting"/>
    <n v="38"/>
    <n v="4"/>
    <s v="Alpha Metals"/>
    <n v="2"/>
    <x v="11"/>
  </r>
  <r>
    <s v="Aluminum Sheets"/>
    <s v="2024-05-29"/>
    <n v="1492"/>
    <s v="Shift 2"/>
    <s v="Press"/>
    <s v="Welding"/>
    <n v="0"/>
    <n v="8"/>
    <s v="QuickParts"/>
    <n v="4"/>
    <x v="9"/>
  </r>
  <r>
    <s v="Plastic Gears"/>
    <s v="2024-09-04"/>
    <n v="1164"/>
    <s v="Shift 2"/>
    <s v="Lathe"/>
    <s v="Assembly"/>
    <n v="16"/>
    <n v="3"/>
    <s v="Alpha Metals"/>
    <n v="2"/>
    <x v="5"/>
  </r>
  <r>
    <s v="Aluminum Sheets"/>
    <s v="2024-04-08"/>
    <n v="644"/>
    <s v="Shift 2"/>
    <s v="Press"/>
    <s v="Cutting"/>
    <n v="40"/>
    <n v="10"/>
    <s v="Alpha Metals"/>
    <n v="3"/>
    <x v="6"/>
  </r>
  <r>
    <s v="Plastic Gears"/>
    <s v="2024-04-04"/>
    <n v="1748"/>
    <s v="Shift 2"/>
    <s v="Drill"/>
    <s v="Cutting"/>
    <n v="29"/>
    <n v="8"/>
    <s v="Alpha Metals"/>
    <n v="2"/>
    <x v="6"/>
  </r>
  <r>
    <s v="Aluminum Sheets"/>
    <s v="2024-03-21"/>
    <n v="1506"/>
    <s v="Shift 3"/>
    <s v="Drill"/>
    <s v="Welding"/>
    <n v="12"/>
    <n v="10"/>
    <s v="Alpha Metals"/>
    <n v="1"/>
    <x v="0"/>
  </r>
  <r>
    <s v="Aluminum Sheets"/>
    <s v="2024-09-21"/>
    <n v="1002"/>
    <s v="Shift 3"/>
    <s v="Lathe"/>
    <s v="Cutting"/>
    <n v="20"/>
    <n v="9"/>
    <s v="Alpha Metals"/>
    <n v="2"/>
    <x v="5"/>
  </r>
  <r>
    <s v="Plastic Gears"/>
    <s v="2024-08-22"/>
    <n v="1320"/>
    <s v="Shift 2"/>
    <s v="Drill"/>
    <s v="Cutting"/>
    <n v="18"/>
    <n v="2"/>
    <s v="Metro Steel"/>
    <n v="0"/>
    <x v="7"/>
  </r>
  <r>
    <s v="Plastic Gears"/>
    <s v="2024-12-19"/>
    <n v="603"/>
    <s v="Shift 3"/>
    <s v="Drill"/>
    <s v="Cutting"/>
    <n v="18"/>
    <n v="7"/>
    <s v="Metro Steel"/>
    <n v="5"/>
    <x v="10"/>
  </r>
  <r>
    <s v="Plastic Gears"/>
    <s v="2024-10-22"/>
    <n v="1562"/>
    <s v="Shift 1"/>
    <s v="Press"/>
    <s v="Assembly"/>
    <n v="24"/>
    <n v="0"/>
    <s v="Bright Supplies"/>
    <n v="1"/>
    <x v="1"/>
  </r>
  <r>
    <s v="Steel Bolts"/>
    <s v="2024-11-29"/>
    <n v="697"/>
    <s v="Shift 1"/>
    <s v="Drill"/>
    <s v="Welding"/>
    <n v="21"/>
    <n v="10"/>
    <s v="Metro Steel"/>
    <n v="0"/>
    <x v="8"/>
  </r>
  <r>
    <s v="Copper Pipes"/>
    <s v="2024-07-31"/>
    <n v="1078"/>
    <s v="Shift 1"/>
    <s v="Lathe"/>
    <s v="Cutting"/>
    <n v="30"/>
    <n v="8"/>
    <s v="Bright Supplies"/>
    <n v="1"/>
    <x v="4"/>
  </r>
  <r>
    <s v="Steel Bolts"/>
    <s v="2024-02-11"/>
    <n v="890"/>
    <s v="Shift 2"/>
    <s v="Press"/>
    <s v="Painting"/>
    <n v="16"/>
    <n v="8"/>
    <s v="Bright Supplies"/>
    <n v="3"/>
    <x v="11"/>
  </r>
  <r>
    <s v="Steel Bolts"/>
    <s v="2024-02-10"/>
    <n v="1702"/>
    <s v="Shift 1"/>
    <s v="Cutter"/>
    <s v="Painting"/>
    <n v="22"/>
    <n v="9"/>
    <s v="QuickParts"/>
    <n v="5"/>
    <x v="11"/>
  </r>
  <r>
    <s v="Aluminum Sheets"/>
    <s v="2024-07-12"/>
    <n v="1053"/>
    <s v="Shift 3"/>
    <s v="Press"/>
    <s v="Painting"/>
    <n v="31"/>
    <n v="1"/>
    <s v="Alpha Metals"/>
    <n v="5"/>
    <x v="4"/>
  </r>
  <r>
    <s v="Plastic Gears"/>
    <s v="2024-02-13"/>
    <n v="1971"/>
    <s v="Shift 2"/>
    <s v="Lathe"/>
    <s v="Painting"/>
    <n v="9"/>
    <n v="3"/>
    <s v="Metro Steel"/>
    <n v="3"/>
    <x v="11"/>
  </r>
  <r>
    <s v="Copper Pipes"/>
    <s v="2024-04-24"/>
    <n v="1538"/>
    <s v="Shift 3"/>
    <s v="Press"/>
    <s v="Assembly"/>
    <n v="9"/>
    <n v="7"/>
    <s v="QuickParts"/>
    <n v="5"/>
    <x v="6"/>
  </r>
  <r>
    <s v="Aluminum Sheets"/>
    <s v="2024-06-30"/>
    <n v="1812"/>
    <s v="Shift 1"/>
    <s v="Press"/>
    <s v="Cutting"/>
    <n v="35"/>
    <n v="6"/>
    <s v="Metro Steel"/>
    <n v="3"/>
    <x v="3"/>
  </r>
  <r>
    <s v="Steel Bolts"/>
    <s v="2024-06-06"/>
    <n v="977"/>
    <s v="Shift 1"/>
    <s v="Lathe"/>
    <s v="Welding"/>
    <n v="7"/>
    <n v="0"/>
    <s v="Bright Supplies"/>
    <n v="0"/>
    <x v="3"/>
  </r>
  <r>
    <s v="Plastic Gears"/>
    <s v="2024-11-27"/>
    <n v="1754"/>
    <s v="Shift 1"/>
    <s v="Press"/>
    <s v="Cutting"/>
    <n v="19"/>
    <n v="4"/>
    <s v="Metro Steel"/>
    <n v="4"/>
    <x v="8"/>
  </r>
  <r>
    <s v="Aluminum Sheets"/>
    <s v="2024-12-04"/>
    <n v="1422"/>
    <s v="Shift 2"/>
    <s v="Lathe"/>
    <s v="Assembly"/>
    <n v="31"/>
    <n v="6"/>
    <s v="Alpha Metals"/>
    <n v="1"/>
    <x v="10"/>
  </r>
  <r>
    <s v="Plastic Gears"/>
    <s v="2024-02-15"/>
    <n v="919"/>
    <s v="Shift 3"/>
    <s v="Lathe"/>
    <s v="Painting"/>
    <n v="49"/>
    <n v="3"/>
    <s v="Bright Supplies"/>
    <n v="3"/>
    <x v="11"/>
  </r>
  <r>
    <s v="Aluminum Sheets"/>
    <s v="2024-11-14"/>
    <n v="656"/>
    <s v="Shift 2"/>
    <s v="Cutter"/>
    <s v="Assembly"/>
    <n v="13"/>
    <n v="0"/>
    <s v="Bright Supplies"/>
    <n v="1"/>
    <x v="8"/>
  </r>
  <r>
    <s v="Plastic Gears"/>
    <s v="2024-11-20"/>
    <n v="1049"/>
    <s v="Shift 2"/>
    <s v="Drill"/>
    <s v="Cutting"/>
    <n v="49"/>
    <n v="8"/>
    <s v="QuickParts"/>
    <n v="0"/>
    <x v="8"/>
  </r>
  <r>
    <s v="Steel Bolts"/>
    <s v="2024-02-24"/>
    <n v="1964"/>
    <s v="Shift 1"/>
    <s v="Drill"/>
    <s v="Welding"/>
    <n v="27"/>
    <n v="4"/>
    <s v="Alpha Metals"/>
    <n v="4"/>
    <x v="11"/>
  </r>
  <r>
    <s v="Copper Pipes"/>
    <s v="2024-06-04"/>
    <n v="1620"/>
    <s v="Shift 2"/>
    <s v="Press"/>
    <s v="Assembly"/>
    <n v="45"/>
    <n v="10"/>
    <s v="Bright Supplies"/>
    <n v="0"/>
    <x v="3"/>
  </r>
  <r>
    <s v="Steel Bolts"/>
    <s v="2024-11-12"/>
    <n v="1520"/>
    <s v="Shift 2"/>
    <s v="Press"/>
    <s v="Welding"/>
    <n v="23"/>
    <n v="1"/>
    <s v="Alpha Metals"/>
    <n v="5"/>
    <x v="8"/>
  </r>
  <r>
    <s v="Copper Pipes"/>
    <s v="2024-05-29"/>
    <n v="1496"/>
    <s v="Shift 1"/>
    <s v="Cutter"/>
    <s v="Assembly"/>
    <n v="14"/>
    <n v="7"/>
    <s v="Metro Steel"/>
    <n v="1"/>
    <x v="9"/>
  </r>
  <r>
    <s v="Plastic Gears"/>
    <s v="2024-08-20"/>
    <n v="1934"/>
    <s v="Shift 2"/>
    <s v="Cutter"/>
    <s v="Welding"/>
    <n v="21"/>
    <n v="10"/>
    <s v="Alpha Metals"/>
    <n v="4"/>
    <x v="7"/>
  </r>
  <r>
    <s v="Aluminum Sheets"/>
    <s v="2024-06-29"/>
    <n v="1450"/>
    <s v="Shift 1"/>
    <s v="Cutter"/>
    <s v="Welding"/>
    <n v="29"/>
    <n v="1"/>
    <s v="Bright Supplies"/>
    <n v="5"/>
    <x v="3"/>
  </r>
  <r>
    <s v="Steel Bolts"/>
    <s v="2024-01-02"/>
    <n v="788"/>
    <s v="Shift 1"/>
    <s v="Lathe"/>
    <s v="Painting"/>
    <n v="3"/>
    <n v="2"/>
    <s v="QuickParts"/>
    <n v="4"/>
    <x v="2"/>
  </r>
  <r>
    <s v="Copper Pipes"/>
    <s v="2024-01-28"/>
    <n v="1777"/>
    <s v="Shift 1"/>
    <s v="Cutter"/>
    <s v="Welding"/>
    <n v="12"/>
    <n v="9"/>
    <s v="Bright Supplies"/>
    <n v="5"/>
    <x v="2"/>
  </r>
  <r>
    <s v="Steel Bolts"/>
    <s v="2024-06-16"/>
    <n v="695"/>
    <s v="Shift 1"/>
    <s v="Cutter"/>
    <s v="Painting"/>
    <n v="22"/>
    <n v="0"/>
    <s v="Alpha Metals"/>
    <n v="0"/>
    <x v="3"/>
  </r>
  <r>
    <s v="Copper Pipes"/>
    <s v="2024-09-21"/>
    <n v="1097"/>
    <s v="Shift 2"/>
    <s v="Press"/>
    <s v="Cutting"/>
    <n v="7"/>
    <n v="10"/>
    <s v="Alpha Metals"/>
    <n v="3"/>
    <x v="5"/>
  </r>
  <r>
    <s v="Steel Bolts"/>
    <s v="2024-01-14"/>
    <n v="1016"/>
    <s v="Shift 1"/>
    <s v="Cutter"/>
    <s v="Cutting"/>
    <n v="17"/>
    <n v="1"/>
    <s v="Bright Supplies"/>
    <n v="1"/>
    <x v="2"/>
  </r>
  <r>
    <s v="Copper Pipes"/>
    <s v="2024-05-03"/>
    <n v="1364"/>
    <s v="Shift 1"/>
    <s v="Lathe"/>
    <s v="Painting"/>
    <n v="11"/>
    <n v="6"/>
    <s v="Alpha Metals"/>
    <n v="2"/>
    <x v="9"/>
  </r>
  <r>
    <s v="Copper Pipes"/>
    <s v="2024-08-20"/>
    <n v="1641"/>
    <s v="Shift 2"/>
    <s v="Lathe"/>
    <s v="Painting"/>
    <n v="30"/>
    <n v="9"/>
    <s v="Metro Steel"/>
    <n v="2"/>
    <x v="7"/>
  </r>
  <r>
    <s v="Plastic Gears"/>
    <s v="2024-12-09"/>
    <n v="1305"/>
    <s v="Shift 2"/>
    <s v="Press"/>
    <s v="Assembly"/>
    <n v="13"/>
    <n v="1"/>
    <s v="Bright Supplies"/>
    <n v="0"/>
    <x v="10"/>
  </r>
  <r>
    <s v="Copper Pipes"/>
    <s v="2024-10-14"/>
    <n v="1682"/>
    <s v="Shift 3"/>
    <s v="Cutter"/>
    <s v="Assembly"/>
    <n v="33"/>
    <n v="5"/>
    <s v="QuickParts"/>
    <n v="1"/>
    <x v="1"/>
  </r>
  <r>
    <s v="Plastic Gears"/>
    <s v="2024-08-07"/>
    <n v="1314"/>
    <s v="Shift 2"/>
    <s v="Cutter"/>
    <s v="Assembly"/>
    <n v="17"/>
    <n v="2"/>
    <s v="Bright Supplies"/>
    <n v="1"/>
    <x v="7"/>
  </r>
  <r>
    <s v="Copper Pipes"/>
    <s v="2024-05-27"/>
    <n v="727"/>
    <s v="Shift 2"/>
    <s v="Lathe"/>
    <s v="Cutting"/>
    <n v="33"/>
    <n v="3"/>
    <s v="Metro Steel"/>
    <n v="0"/>
    <x v="9"/>
  </r>
  <r>
    <s v="Aluminum Sheets"/>
    <s v="2024-09-24"/>
    <n v="715"/>
    <s v="Shift 3"/>
    <s v="Cutter"/>
    <s v="Assembly"/>
    <n v="10"/>
    <n v="10"/>
    <s v="Metro Steel"/>
    <n v="1"/>
    <x v="5"/>
  </r>
  <r>
    <s v="Aluminum Sheets"/>
    <s v="2024-02-03"/>
    <n v="1447"/>
    <s v="Shift 2"/>
    <s v="Cutter"/>
    <s v="Welding"/>
    <n v="40"/>
    <n v="7"/>
    <s v="Metro Steel"/>
    <n v="3"/>
    <x v="11"/>
  </r>
  <r>
    <s v="Aluminum Sheets"/>
    <s v="2024-12-08"/>
    <n v="514"/>
    <s v="Shift 2"/>
    <s v="Cutter"/>
    <s v="Welding"/>
    <n v="11"/>
    <n v="2"/>
    <s v="Metro Steel"/>
    <n v="0"/>
    <x v="10"/>
  </r>
  <r>
    <s v="Copper Pipes"/>
    <s v="2024-07-13"/>
    <n v="1680"/>
    <s v="Shift 2"/>
    <s v="Drill"/>
    <s v="Assembly"/>
    <n v="48"/>
    <n v="9"/>
    <s v="Metro Steel"/>
    <n v="3"/>
    <x v="4"/>
  </r>
  <r>
    <s v="Plastic Gears"/>
    <s v="2024-08-23"/>
    <n v="1784"/>
    <s v="Shift 2"/>
    <s v="Press"/>
    <s v="Welding"/>
    <n v="14"/>
    <n v="5"/>
    <s v="QuickParts"/>
    <n v="1"/>
    <x v="7"/>
  </r>
  <r>
    <s v="Plastic Gears"/>
    <s v="2024-05-25"/>
    <n v="1680"/>
    <s v="Shift 3"/>
    <s v="Drill"/>
    <s v="Cutting"/>
    <n v="30"/>
    <n v="0"/>
    <s v="Alpha Metals"/>
    <n v="0"/>
    <x v="9"/>
  </r>
  <r>
    <s v="Copper Pipes"/>
    <s v="2024-04-07"/>
    <n v="546"/>
    <s v="Shift 2"/>
    <s v="Press"/>
    <s v="Welding"/>
    <n v="48"/>
    <n v="6"/>
    <s v="Metro Steel"/>
    <n v="1"/>
    <x v="6"/>
  </r>
  <r>
    <s v="Aluminum Sheets"/>
    <s v="2024-06-21"/>
    <n v="823"/>
    <s v="Shift 2"/>
    <s v="Lathe"/>
    <s v="Cutting"/>
    <n v="28"/>
    <n v="7"/>
    <s v="Metro Steel"/>
    <n v="0"/>
    <x v="3"/>
  </r>
  <r>
    <s v="Aluminum Sheets"/>
    <s v="2024-10-31"/>
    <n v="1343"/>
    <s v="Shift 3"/>
    <s v="Cutter"/>
    <s v="Painting"/>
    <n v="25"/>
    <n v="10"/>
    <s v="Bright Supplies"/>
    <n v="1"/>
    <x v="1"/>
  </r>
  <r>
    <s v="Plastic Gears"/>
    <s v="2024-07-30"/>
    <n v="629"/>
    <s v="Shift 1"/>
    <s v="Press"/>
    <s v="Painting"/>
    <n v="17"/>
    <n v="7"/>
    <s v="QuickParts"/>
    <n v="3"/>
    <x v="4"/>
  </r>
  <r>
    <s v="Aluminum Sheets"/>
    <s v="2024-05-11"/>
    <n v="1934"/>
    <s v="Shift 3"/>
    <s v="Drill"/>
    <s v="Painting"/>
    <n v="31"/>
    <n v="2"/>
    <s v="QuickParts"/>
    <n v="3"/>
    <x v="9"/>
  </r>
  <r>
    <s v="Steel Bolts"/>
    <s v="2024-06-12"/>
    <n v="594"/>
    <s v="Shift 1"/>
    <s v="Cutter"/>
    <s v="Painting"/>
    <n v="21"/>
    <n v="9"/>
    <s v="Alpha Metals"/>
    <n v="1"/>
    <x v="3"/>
  </r>
  <r>
    <s v="Plastic Gears"/>
    <s v="2024-02-10"/>
    <n v="1126"/>
    <s v="Shift 3"/>
    <s v="Lathe"/>
    <s v="Welding"/>
    <n v="37"/>
    <n v="0"/>
    <s v="QuickParts"/>
    <n v="0"/>
    <x v="11"/>
  </r>
  <r>
    <s v="Aluminum Sheets"/>
    <s v="2024-11-08"/>
    <n v="1254"/>
    <s v="Shift 3"/>
    <s v="Press"/>
    <s v="Assembly"/>
    <n v="16"/>
    <n v="8"/>
    <s v="Bright Supplies"/>
    <n v="2"/>
    <x v="8"/>
  </r>
  <r>
    <s v="Plastic Gears"/>
    <s v="2024-08-22"/>
    <n v="1815"/>
    <s v="Shift 2"/>
    <s v="Press"/>
    <s v="Welding"/>
    <n v="22"/>
    <n v="5"/>
    <s v="Bright Supplies"/>
    <n v="3"/>
    <x v="7"/>
  </r>
  <r>
    <s v="Steel Bolts"/>
    <s v="2024-03-17"/>
    <n v="1293"/>
    <s v="Shift 1"/>
    <s v="Press"/>
    <s v="Cutting"/>
    <n v="23"/>
    <n v="10"/>
    <s v="Alpha Metals"/>
    <n v="3"/>
    <x v="0"/>
  </r>
  <r>
    <s v="Plastic Gears"/>
    <s v="2024-08-23"/>
    <n v="1806"/>
    <s v="Shift 2"/>
    <s v="Cutter"/>
    <s v="Welding"/>
    <n v="49"/>
    <n v="8"/>
    <s v="Bright Supplies"/>
    <n v="5"/>
    <x v="7"/>
  </r>
  <r>
    <s v="Plastic Gears"/>
    <s v="2024-08-08"/>
    <n v="568"/>
    <s v="Shift 1"/>
    <s v="Drill"/>
    <s v="Welding"/>
    <n v="7"/>
    <n v="6"/>
    <s v="Metro Steel"/>
    <n v="2"/>
    <x v="7"/>
  </r>
  <r>
    <s v="Plastic Gears"/>
    <s v="2024-09-01"/>
    <n v="510"/>
    <s v="Shift 3"/>
    <s v="Drill"/>
    <s v="Cutting"/>
    <n v="40"/>
    <n v="0"/>
    <s v="Metro Steel"/>
    <n v="1"/>
    <x v="5"/>
  </r>
  <r>
    <s v="Plastic Gears"/>
    <s v="2024-10-31"/>
    <n v="1777"/>
    <s v="Shift 3"/>
    <s v="Press"/>
    <s v="Painting"/>
    <n v="5"/>
    <n v="0"/>
    <s v="Bright Supplies"/>
    <n v="0"/>
    <x v="1"/>
  </r>
  <r>
    <s v="Steel Bolts"/>
    <s v="2024-07-17"/>
    <n v="1371"/>
    <s v="Shift 1"/>
    <s v="Lathe"/>
    <s v="Painting"/>
    <n v="4"/>
    <n v="5"/>
    <s v="Alpha Metals"/>
    <n v="5"/>
    <x v="4"/>
  </r>
  <r>
    <s v="Copper Pipes"/>
    <s v="2024-10-09"/>
    <n v="1049"/>
    <s v="Shift 2"/>
    <s v="Lathe"/>
    <s v="Painting"/>
    <n v="43"/>
    <n v="4"/>
    <s v="QuickParts"/>
    <n v="1"/>
    <x v="1"/>
  </r>
  <r>
    <s v="Plastic Gears"/>
    <s v="2024-09-29"/>
    <n v="1657"/>
    <s v="Shift 2"/>
    <s v="Drill"/>
    <s v="Assembly"/>
    <n v="28"/>
    <n v="8"/>
    <s v="Alpha Metals"/>
    <n v="4"/>
    <x v="5"/>
  </r>
  <r>
    <s v="Plastic Gears"/>
    <s v="2024-06-29"/>
    <n v="1211"/>
    <s v="Shift 2"/>
    <s v="Lathe"/>
    <s v="Cutting"/>
    <n v="27"/>
    <n v="1"/>
    <s v="QuickParts"/>
    <n v="3"/>
    <x v="3"/>
  </r>
  <r>
    <s v="Aluminum Sheets"/>
    <s v="2024-12-10"/>
    <n v="522"/>
    <s v="Shift 2"/>
    <s v="Drill"/>
    <s v="Cutting"/>
    <n v="10"/>
    <n v="7"/>
    <s v="Bright Supplies"/>
    <n v="4"/>
    <x v="10"/>
  </r>
  <r>
    <s v="Plastic Gears"/>
    <s v="2024-06-19"/>
    <n v="1314"/>
    <s v="Shift 3"/>
    <s v="Press"/>
    <s v="Welding"/>
    <n v="0"/>
    <n v="10"/>
    <s v="Bright Supplies"/>
    <n v="3"/>
    <x v="3"/>
  </r>
  <r>
    <s v="Aluminum Sheets"/>
    <s v="2024-02-02"/>
    <n v="845"/>
    <s v="Shift 3"/>
    <s v="Drill"/>
    <s v="Assembly"/>
    <n v="42"/>
    <n v="4"/>
    <s v="Metro Steel"/>
    <n v="3"/>
    <x v="11"/>
  </r>
  <r>
    <s v="Copper Pipes"/>
    <s v="2024-11-13"/>
    <n v="801"/>
    <s v="Shift 3"/>
    <s v="Drill"/>
    <s v="Painting"/>
    <n v="18"/>
    <n v="1"/>
    <s v="QuickParts"/>
    <n v="4"/>
    <x v="8"/>
  </r>
  <r>
    <s v="Steel Bolts"/>
    <s v="2024-01-15"/>
    <n v="862"/>
    <s v="Shift 3"/>
    <s v="Press"/>
    <s v="Assembly"/>
    <n v="8"/>
    <n v="9"/>
    <s v="Alpha Metals"/>
    <n v="4"/>
    <x v="2"/>
  </r>
  <r>
    <s v="Steel Bolts"/>
    <s v="2024-03-08"/>
    <n v="895"/>
    <s v="Shift 3"/>
    <s v="Lathe"/>
    <s v="Cutting"/>
    <n v="26"/>
    <n v="10"/>
    <s v="Bright Supplies"/>
    <n v="1"/>
    <x v="0"/>
  </r>
  <r>
    <s v="Copper Pipes"/>
    <s v="2024-04-17"/>
    <n v="717"/>
    <s v="Shift 2"/>
    <s v="Drill"/>
    <s v="Cutting"/>
    <n v="33"/>
    <n v="10"/>
    <s v="Alpha Metals"/>
    <n v="5"/>
    <x v="6"/>
  </r>
  <r>
    <s v="Steel Bolts"/>
    <s v="2024-07-09"/>
    <n v="640"/>
    <s v="Shift 2"/>
    <s v="Drill"/>
    <s v="Welding"/>
    <n v="43"/>
    <n v="5"/>
    <s v="Metro Steel"/>
    <n v="5"/>
    <x v="4"/>
  </r>
  <r>
    <s v="Copper Pipes"/>
    <s v="2024-06-04"/>
    <n v="1457"/>
    <s v="Shift 2"/>
    <s v="Press"/>
    <s v="Welding"/>
    <n v="3"/>
    <n v="9"/>
    <s v="QuickParts"/>
    <n v="4"/>
    <x v="3"/>
  </r>
  <r>
    <s v="Copper Pipes"/>
    <s v="2024-05-01"/>
    <n v="1733"/>
    <s v="Shift 2"/>
    <s v="Lathe"/>
    <s v="Cutting"/>
    <n v="35"/>
    <n v="7"/>
    <s v="QuickParts"/>
    <n v="1"/>
    <x v="9"/>
  </r>
  <r>
    <s v="Copper Pipes"/>
    <s v="2024-09-26"/>
    <n v="1484"/>
    <s v="Shift 3"/>
    <s v="Drill"/>
    <s v="Painting"/>
    <n v="17"/>
    <n v="3"/>
    <s v="Bright Supplies"/>
    <n v="5"/>
    <x v="5"/>
  </r>
  <r>
    <s v="Steel Bolts"/>
    <s v="2024-03-23"/>
    <n v="1492"/>
    <s v="Shift 3"/>
    <s v="Press"/>
    <s v="Painting"/>
    <n v="14"/>
    <n v="1"/>
    <s v="QuickParts"/>
    <n v="1"/>
    <x v="0"/>
  </r>
  <r>
    <s v="Aluminum Sheets"/>
    <s v="2024-12-23"/>
    <n v="1327"/>
    <s v="Shift 3"/>
    <s v="Drill"/>
    <s v="Assembly"/>
    <n v="50"/>
    <n v="10"/>
    <s v="Bright Supplies"/>
    <n v="1"/>
    <x v="10"/>
  </r>
  <r>
    <s v="Copper Pipes"/>
    <s v="2024-03-26"/>
    <n v="1182"/>
    <s v="Shift 1"/>
    <s v="Cutter"/>
    <s v="Cutting"/>
    <n v="12"/>
    <n v="4"/>
    <s v="Metro Steel"/>
    <n v="3"/>
    <x v="0"/>
  </r>
  <r>
    <s v="Plastic Gears"/>
    <s v="2024-02-29"/>
    <n v="1983"/>
    <s v="Shift 2"/>
    <s v="Press"/>
    <s v="Cutting"/>
    <n v="18"/>
    <n v="1"/>
    <s v="QuickParts"/>
    <n v="5"/>
    <x v="11"/>
  </r>
  <r>
    <s v="Steel Bolts"/>
    <s v="2024-06-10"/>
    <n v="1503"/>
    <s v="Shift 2"/>
    <s v="Lathe"/>
    <s v="Painting"/>
    <n v="48"/>
    <n v="1"/>
    <s v="Bright Supplies"/>
    <n v="5"/>
    <x v="3"/>
  </r>
  <r>
    <s v="Copper Pipes"/>
    <s v="2024-11-05"/>
    <n v="855"/>
    <s v="Shift 3"/>
    <s v="Lathe"/>
    <s v="Painting"/>
    <n v="5"/>
    <n v="5"/>
    <s v="Alpha Metals"/>
    <n v="3"/>
    <x v="8"/>
  </r>
  <r>
    <s v="Copper Pipes"/>
    <s v="2024-08-09"/>
    <n v="1507"/>
    <s v="Shift 2"/>
    <s v="Lathe"/>
    <s v="Cutting"/>
    <n v="47"/>
    <n v="10"/>
    <s v="Bright Supplies"/>
    <n v="4"/>
    <x v="7"/>
  </r>
  <r>
    <s v="Plastic Gears"/>
    <s v="2024-12-19"/>
    <n v="1847"/>
    <s v="Shift 2"/>
    <s v="Lathe"/>
    <s v="Welding"/>
    <n v="11"/>
    <n v="9"/>
    <s v="QuickParts"/>
    <n v="3"/>
    <x v="10"/>
  </r>
  <r>
    <s v="Aluminum Sheets"/>
    <s v="2024-08-02"/>
    <n v="1656"/>
    <s v="Shift 3"/>
    <s v="Drill"/>
    <s v="Cutting"/>
    <n v="50"/>
    <n v="8"/>
    <s v="Metro Steel"/>
    <n v="5"/>
    <x v="7"/>
  </r>
  <r>
    <s v="Aluminum Sheets"/>
    <s v="2024-06-21"/>
    <n v="1387"/>
    <s v="Shift 1"/>
    <s v="Drill"/>
    <s v="Cutting"/>
    <n v="36"/>
    <n v="3"/>
    <s v="QuickParts"/>
    <n v="5"/>
    <x v="3"/>
  </r>
  <r>
    <s v="Aluminum Sheets"/>
    <s v="2024-11-14"/>
    <n v="626"/>
    <s v="Shift 1"/>
    <s v="Lathe"/>
    <s v="Painting"/>
    <n v="16"/>
    <n v="5"/>
    <s v="QuickParts"/>
    <n v="4"/>
    <x v="8"/>
  </r>
  <r>
    <s v="Copper Pipes"/>
    <s v="2024-07-07"/>
    <n v="1629"/>
    <s v="Shift 1"/>
    <s v="Lathe"/>
    <s v="Painting"/>
    <n v="22"/>
    <n v="6"/>
    <s v="Bright Supplies"/>
    <n v="3"/>
    <x v="4"/>
  </r>
  <r>
    <s v="Copper Pipes"/>
    <s v="2024-04-26"/>
    <n v="1508"/>
    <s v="Shift 3"/>
    <s v="Lathe"/>
    <s v="Welding"/>
    <n v="25"/>
    <n v="10"/>
    <s v="Alpha Metals"/>
    <n v="0"/>
    <x v="6"/>
  </r>
  <r>
    <s v="Copper Pipes"/>
    <s v="2024-03-06"/>
    <n v="1103"/>
    <s v="Shift 2"/>
    <s v="Drill"/>
    <s v="Welding"/>
    <n v="28"/>
    <n v="5"/>
    <s v="QuickParts"/>
    <n v="0"/>
    <x v="0"/>
  </r>
  <r>
    <s v="Steel Bolts"/>
    <s v="2024-10-01"/>
    <n v="1901"/>
    <s v="Shift 3"/>
    <s v="Lathe"/>
    <s v="Assembly"/>
    <n v="32"/>
    <n v="7"/>
    <s v="Alpha Metals"/>
    <n v="4"/>
    <x v="1"/>
  </r>
  <r>
    <s v="Plastic Gears"/>
    <s v="2024-07-04"/>
    <n v="1513"/>
    <s v="Shift 3"/>
    <s v="Lathe"/>
    <s v="Cutting"/>
    <n v="26"/>
    <n v="3"/>
    <s v="Bright Supplies"/>
    <n v="3"/>
    <x v="4"/>
  </r>
  <r>
    <s v="Copper Pipes"/>
    <s v="2024-10-30"/>
    <n v="550"/>
    <s v="Shift 2"/>
    <s v="Cutter"/>
    <s v="Painting"/>
    <n v="24"/>
    <n v="0"/>
    <s v="Alpha Metals"/>
    <n v="3"/>
    <x v="1"/>
  </r>
  <r>
    <s v="Plastic Gears"/>
    <s v="2024-03-10"/>
    <n v="1552"/>
    <s v="Shift 1"/>
    <s v="Cutter"/>
    <s v="Welding"/>
    <n v="9"/>
    <n v="6"/>
    <s v="Bright Supplies"/>
    <n v="1"/>
    <x v="0"/>
  </r>
  <r>
    <s v="Plastic Gears"/>
    <s v="2024-02-26"/>
    <n v="1985"/>
    <s v="Shift 1"/>
    <s v="Lathe"/>
    <s v="Assembly"/>
    <n v="46"/>
    <n v="2"/>
    <s v="Metro Steel"/>
    <n v="5"/>
    <x v="11"/>
  </r>
  <r>
    <s v="Aluminum Sheets"/>
    <s v="2024-05-02"/>
    <n v="1819"/>
    <s v="Shift 3"/>
    <s v="Press"/>
    <s v="Assembly"/>
    <n v="22"/>
    <n v="5"/>
    <s v="Alpha Metals"/>
    <n v="2"/>
    <x v="9"/>
  </r>
  <r>
    <s v="Steel Bolts"/>
    <s v="2024-10-11"/>
    <n v="1820"/>
    <s v="Shift 1"/>
    <s v="Lathe"/>
    <s v="Painting"/>
    <n v="20"/>
    <n v="1"/>
    <s v="Alpha Metals"/>
    <n v="4"/>
    <x v="1"/>
  </r>
  <r>
    <s v="Copper Pipes"/>
    <s v="2024-10-12"/>
    <n v="1278"/>
    <s v="Shift 3"/>
    <s v="Cutter"/>
    <s v="Painting"/>
    <n v="20"/>
    <n v="8"/>
    <s v="Metro Steel"/>
    <n v="2"/>
    <x v="1"/>
  </r>
  <r>
    <s v="Aluminum Sheets"/>
    <s v="2024-10-28"/>
    <n v="1930"/>
    <s v="Shift 3"/>
    <s v="Press"/>
    <s v="Assembly"/>
    <n v="42"/>
    <n v="0"/>
    <s v="Alpha Metals"/>
    <n v="2"/>
    <x v="1"/>
  </r>
  <r>
    <s v="Aluminum Sheets"/>
    <s v="2024-06-14"/>
    <n v="1313"/>
    <s v="Shift 2"/>
    <s v="Press"/>
    <s v="Welding"/>
    <n v="12"/>
    <n v="5"/>
    <s v="Metro Steel"/>
    <n v="4"/>
    <x v="3"/>
  </r>
  <r>
    <s v="Copper Pipes"/>
    <s v="2024-09-17"/>
    <n v="1928"/>
    <s v="Shift 2"/>
    <s v="Lathe"/>
    <s v="Assembly"/>
    <n v="36"/>
    <n v="5"/>
    <s v="QuickParts"/>
    <n v="3"/>
    <x v="5"/>
  </r>
  <r>
    <s v="Plastic Gears"/>
    <s v="2024-05-21"/>
    <n v="1869"/>
    <s v="Shift 2"/>
    <s v="Cutter"/>
    <s v="Cutting"/>
    <n v="32"/>
    <n v="4"/>
    <s v="Bright Supplies"/>
    <n v="4"/>
    <x v="9"/>
  </r>
  <r>
    <s v="Aluminum Sheets"/>
    <s v="2024-08-08"/>
    <n v="919"/>
    <s v="Shift 3"/>
    <s v="Cutter"/>
    <s v="Cutting"/>
    <n v="23"/>
    <n v="4"/>
    <s v="Metro Steel"/>
    <n v="2"/>
    <x v="7"/>
  </r>
  <r>
    <s v="Plastic Gears"/>
    <s v="2024-08-31"/>
    <n v="1705"/>
    <s v="Shift 2"/>
    <s v="Press"/>
    <s v="Painting"/>
    <n v="43"/>
    <n v="0"/>
    <s v="Alpha Metals"/>
    <n v="5"/>
    <x v="7"/>
  </r>
  <r>
    <s v="Steel Bolts"/>
    <s v="2024-06-24"/>
    <n v="1482"/>
    <s v="Shift 1"/>
    <s v="Lathe"/>
    <s v="Welding"/>
    <n v="10"/>
    <n v="9"/>
    <s v="Metro Steel"/>
    <n v="5"/>
    <x v="3"/>
  </r>
  <r>
    <s v="Plastic Gears"/>
    <s v="2024-01-11"/>
    <n v="1324"/>
    <s v="Shift 1"/>
    <s v="Drill"/>
    <s v="Welding"/>
    <n v="16"/>
    <n v="4"/>
    <s v="Alpha Metals"/>
    <n v="5"/>
    <x v="2"/>
  </r>
  <r>
    <s v="Steel Bolts"/>
    <s v="2024-03-31"/>
    <n v="1524"/>
    <s v="Shift 3"/>
    <s v="Drill"/>
    <s v="Cutting"/>
    <n v="3"/>
    <n v="1"/>
    <s v="QuickParts"/>
    <n v="3"/>
    <x v="0"/>
  </r>
  <r>
    <s v="Plastic Gears"/>
    <s v="2024-11-17"/>
    <n v="1066"/>
    <s v="Shift 3"/>
    <s v="Cutter"/>
    <s v="Assembly"/>
    <n v="46"/>
    <n v="6"/>
    <s v="Metro Steel"/>
    <n v="0"/>
    <x v="8"/>
  </r>
  <r>
    <s v="Aluminum Sheets"/>
    <s v="2024-11-27"/>
    <n v="870"/>
    <s v="Shift 2"/>
    <s v="Drill"/>
    <s v="Painting"/>
    <n v="24"/>
    <n v="2"/>
    <s v="QuickParts"/>
    <n v="4"/>
    <x v="8"/>
  </r>
  <r>
    <s v="Aluminum Sheets"/>
    <s v="2024-07-24"/>
    <n v="1435"/>
    <s v="Shift 3"/>
    <s v="Cutter"/>
    <s v="Assembly"/>
    <n v="29"/>
    <n v="3"/>
    <s v="Bright Supplies"/>
    <n v="5"/>
    <x v="4"/>
  </r>
  <r>
    <s v="Steel Bolts"/>
    <s v="2024-08-20"/>
    <n v="1160"/>
    <s v="Shift 3"/>
    <s v="Cutter"/>
    <s v="Assembly"/>
    <n v="8"/>
    <n v="2"/>
    <s v="Alpha Metals"/>
    <n v="4"/>
    <x v="7"/>
  </r>
  <r>
    <s v="Copper Pipes"/>
    <s v="2024-05-06"/>
    <n v="1954"/>
    <s v="Shift 1"/>
    <s v="Cutter"/>
    <s v="Assembly"/>
    <n v="20"/>
    <n v="2"/>
    <s v="Alpha Metals"/>
    <n v="5"/>
    <x v="9"/>
  </r>
  <r>
    <s v="Steel Bolts"/>
    <s v="2024-02-22"/>
    <n v="1468"/>
    <s v="Shift 1"/>
    <s v="Drill"/>
    <s v="Welding"/>
    <n v="19"/>
    <n v="3"/>
    <s v="QuickParts"/>
    <n v="3"/>
    <x v="11"/>
  </r>
  <r>
    <s v="Steel Bolts"/>
    <s v="2024-12-25"/>
    <n v="1832"/>
    <s v="Shift 2"/>
    <s v="Cutter"/>
    <s v="Cutting"/>
    <n v="18"/>
    <n v="4"/>
    <s v="Bright Supplies"/>
    <n v="0"/>
    <x v="10"/>
  </r>
  <r>
    <s v="Plastic Gears"/>
    <s v="2024-02-28"/>
    <n v="1660"/>
    <s v="Shift 3"/>
    <s v="Press"/>
    <s v="Welding"/>
    <n v="18"/>
    <n v="0"/>
    <s v="Metro Steel"/>
    <n v="0"/>
    <x v="11"/>
  </r>
  <r>
    <s v="Plastic Gears"/>
    <s v="2024-12-06"/>
    <n v="701"/>
    <s v="Shift 3"/>
    <s v="Lathe"/>
    <s v="Cutting"/>
    <n v="11"/>
    <n v="3"/>
    <s v="Metro Steel"/>
    <n v="5"/>
    <x v="10"/>
  </r>
  <r>
    <s v="Steel Bolts"/>
    <s v="2024-06-30"/>
    <n v="1959"/>
    <s v="Shift 1"/>
    <s v="Lathe"/>
    <s v="Painting"/>
    <n v="36"/>
    <n v="10"/>
    <s v="Alpha Metals"/>
    <n v="3"/>
    <x v="3"/>
  </r>
  <r>
    <s v="Aluminum Sheets"/>
    <s v="2024-02-25"/>
    <n v="812"/>
    <s v="Shift 3"/>
    <s v="Cutter"/>
    <s v="Painting"/>
    <n v="41"/>
    <n v="7"/>
    <s v="QuickParts"/>
    <n v="1"/>
    <x v="11"/>
  </r>
  <r>
    <s v="Plastic Gears"/>
    <s v="2024-03-18"/>
    <n v="616"/>
    <s v="Shift 1"/>
    <s v="Lathe"/>
    <s v="Assembly"/>
    <n v="16"/>
    <n v="9"/>
    <s v="QuickParts"/>
    <n v="4"/>
    <x v="0"/>
  </r>
  <r>
    <s v="Copper Pipes"/>
    <s v="2024-06-10"/>
    <n v="1436"/>
    <s v="Shift 2"/>
    <s v="Drill"/>
    <s v="Cutting"/>
    <n v="36"/>
    <n v="6"/>
    <s v="Metro Steel"/>
    <n v="4"/>
    <x v="3"/>
  </r>
  <r>
    <s v="Plastic Gears"/>
    <s v="2024-08-07"/>
    <n v="1074"/>
    <s v="Shift 1"/>
    <s v="Drill"/>
    <s v="Cutting"/>
    <n v="47"/>
    <n v="8"/>
    <s v="Bright Supplies"/>
    <n v="2"/>
    <x v="7"/>
  </r>
  <r>
    <s v="Plastic Gears"/>
    <s v="2024-03-22"/>
    <n v="743"/>
    <s v="Shift 3"/>
    <s v="Lathe"/>
    <s v="Cutting"/>
    <n v="38"/>
    <n v="4"/>
    <s v="Bright Supplies"/>
    <n v="3"/>
    <x v="0"/>
  </r>
  <r>
    <s v="Copper Pipes"/>
    <s v="2024-08-05"/>
    <n v="1036"/>
    <s v="Shift 2"/>
    <s v="Drill"/>
    <s v="Assembly"/>
    <n v="27"/>
    <n v="9"/>
    <s v="Metro Steel"/>
    <n v="2"/>
    <x v="7"/>
  </r>
  <r>
    <s v="Steel Bolts"/>
    <s v="2024-02-09"/>
    <n v="574"/>
    <s v="Shift 1"/>
    <s v="Lathe"/>
    <s v="Assembly"/>
    <n v="40"/>
    <n v="3"/>
    <s v="Metro Steel"/>
    <n v="5"/>
    <x v="11"/>
  </r>
  <r>
    <s v="Copper Pipes"/>
    <s v="2024-03-31"/>
    <n v="885"/>
    <s v="Shift 1"/>
    <s v="Lathe"/>
    <s v="Painting"/>
    <n v="34"/>
    <n v="7"/>
    <s v="QuickParts"/>
    <n v="2"/>
    <x v="0"/>
  </r>
  <r>
    <s v="Steel Bolts"/>
    <s v="2024-09-13"/>
    <n v="1733"/>
    <s v="Shift 2"/>
    <s v="Lathe"/>
    <s v="Welding"/>
    <n v="46"/>
    <n v="8"/>
    <s v="Bright Supplies"/>
    <n v="0"/>
    <x v="5"/>
  </r>
  <r>
    <s v="Steel Bolts"/>
    <s v="2024-03-18"/>
    <n v="974"/>
    <s v="Shift 2"/>
    <s v="Cutter"/>
    <s v="Cutting"/>
    <n v="47"/>
    <n v="6"/>
    <s v="Metro Steel"/>
    <n v="4"/>
    <x v="0"/>
  </r>
  <r>
    <s v="Steel Bolts"/>
    <s v="2024-05-17"/>
    <n v="917"/>
    <s v="Shift 1"/>
    <s v="Lathe"/>
    <s v="Cutting"/>
    <n v="17"/>
    <n v="6"/>
    <s v="Metro Steel"/>
    <n v="2"/>
    <x v="9"/>
  </r>
  <r>
    <s v="Copper Pipes"/>
    <s v="2024-09-26"/>
    <n v="846"/>
    <s v="Shift 3"/>
    <s v="Cutter"/>
    <s v="Welding"/>
    <n v="13"/>
    <n v="4"/>
    <s v="Alpha Metals"/>
    <n v="0"/>
    <x v="5"/>
  </r>
  <r>
    <s v="Steel Bolts"/>
    <s v="2024-05-17"/>
    <n v="1139"/>
    <s v="Shift 1"/>
    <s v="Lathe"/>
    <s v="Cutting"/>
    <n v="34"/>
    <n v="3"/>
    <s v="Metro Steel"/>
    <n v="3"/>
    <x v="9"/>
  </r>
  <r>
    <s v="Aluminum Sheets"/>
    <s v="2024-06-24"/>
    <n v="1438"/>
    <s v="Shift 2"/>
    <s v="Lathe"/>
    <s v="Assembly"/>
    <n v="43"/>
    <n v="9"/>
    <s v="Metro Steel"/>
    <n v="2"/>
    <x v="3"/>
  </r>
  <r>
    <s v="Copper Pipes"/>
    <s v="2024-05-06"/>
    <n v="1454"/>
    <s v="Shift 1"/>
    <s v="Lathe"/>
    <s v="Assembly"/>
    <n v="40"/>
    <n v="0"/>
    <s v="Bright Supplies"/>
    <n v="5"/>
    <x v="9"/>
  </r>
  <r>
    <s v="Aluminum Sheets"/>
    <s v="2024-04-27"/>
    <n v="1375"/>
    <s v="Shift 2"/>
    <s v="Drill"/>
    <s v="Cutting"/>
    <n v="6"/>
    <n v="9"/>
    <s v="QuickParts"/>
    <n v="5"/>
    <x v="6"/>
  </r>
  <r>
    <s v="Steel Bolts"/>
    <s v="2024-11-23"/>
    <n v="1262"/>
    <s v="Shift 2"/>
    <s v="Cutter"/>
    <s v="Assembly"/>
    <n v="40"/>
    <n v="9"/>
    <s v="Bright Supplies"/>
    <n v="5"/>
    <x v="8"/>
  </r>
  <r>
    <s v="Plastic Gears"/>
    <s v="2024-02-04"/>
    <n v="1702"/>
    <s v="Shift 3"/>
    <s v="Cutter"/>
    <s v="Assembly"/>
    <n v="12"/>
    <n v="6"/>
    <s v="QuickParts"/>
    <n v="4"/>
    <x v="11"/>
  </r>
  <r>
    <s v="Steel Bolts"/>
    <s v="2024-03-22"/>
    <n v="1705"/>
    <s v="Shift 2"/>
    <s v="Lathe"/>
    <s v="Cutting"/>
    <n v="17"/>
    <n v="0"/>
    <s v="Alpha Metals"/>
    <n v="2"/>
    <x v="0"/>
  </r>
  <r>
    <s v="Aluminum Sheets"/>
    <s v="2024-11-30"/>
    <n v="1163"/>
    <s v="Shift 2"/>
    <s v="Lathe"/>
    <s v="Painting"/>
    <n v="36"/>
    <n v="0"/>
    <s v="Metro Steel"/>
    <n v="3"/>
    <x v="8"/>
  </r>
  <r>
    <s v="Aluminum Sheets"/>
    <s v="2024-11-14"/>
    <n v="524"/>
    <s v="Shift 3"/>
    <s v="Drill"/>
    <s v="Welding"/>
    <n v="12"/>
    <n v="4"/>
    <s v="Alpha Metals"/>
    <n v="2"/>
    <x v="8"/>
  </r>
  <r>
    <s v="Copper Pipes"/>
    <s v="2024-11-15"/>
    <n v="1703"/>
    <s v="Shift 2"/>
    <s v="Drill"/>
    <s v="Assembly"/>
    <n v="35"/>
    <n v="8"/>
    <s v="QuickParts"/>
    <n v="4"/>
    <x v="8"/>
  </r>
  <r>
    <s v="Plastic Gears"/>
    <s v="2024-10-05"/>
    <n v="1209"/>
    <s v="Shift 3"/>
    <s v="Drill"/>
    <s v="Painting"/>
    <n v="30"/>
    <n v="5"/>
    <s v="Bright Supplies"/>
    <n v="0"/>
    <x v="1"/>
  </r>
  <r>
    <s v="Copper Pipes"/>
    <s v="2024-07-12"/>
    <n v="1684"/>
    <s v="Shift 3"/>
    <s v="Cutter"/>
    <s v="Assembly"/>
    <n v="1"/>
    <n v="2"/>
    <s v="Bright Supplies"/>
    <n v="4"/>
    <x v="4"/>
  </r>
  <r>
    <s v="Aluminum Sheets"/>
    <s v="2024-02-05"/>
    <n v="676"/>
    <s v="Shift 2"/>
    <s v="Cutter"/>
    <s v="Assembly"/>
    <n v="15"/>
    <n v="2"/>
    <s v="Alpha Metals"/>
    <n v="5"/>
    <x v="11"/>
  </r>
  <r>
    <s v="Steel Bolts"/>
    <s v="2024-12-09"/>
    <n v="784"/>
    <s v="Shift 2"/>
    <s v="Cutter"/>
    <s v="Welding"/>
    <n v="8"/>
    <n v="6"/>
    <s v="QuickParts"/>
    <n v="0"/>
    <x v="10"/>
  </r>
  <r>
    <s v="Plastic Gears"/>
    <s v="2024-03-25"/>
    <n v="562"/>
    <s v="Shift 1"/>
    <s v="Lathe"/>
    <s v="Assembly"/>
    <n v="8"/>
    <n v="5"/>
    <s v="Alpha Metals"/>
    <n v="5"/>
    <x v="0"/>
  </r>
  <r>
    <s v="Steel Bolts"/>
    <s v="2024-03-25"/>
    <n v="1502"/>
    <s v="Shift 3"/>
    <s v="Cutter"/>
    <s v="Welding"/>
    <n v="37"/>
    <n v="8"/>
    <s v="Alpha Metals"/>
    <n v="1"/>
    <x v="0"/>
  </r>
  <r>
    <s v="Steel Bolts"/>
    <s v="2024-05-27"/>
    <n v="1161"/>
    <s v="Shift 1"/>
    <s v="Press"/>
    <s v="Welding"/>
    <n v="10"/>
    <n v="5"/>
    <s v="Metro Steel"/>
    <n v="4"/>
    <x v="9"/>
  </r>
  <r>
    <s v="Plastic Gears"/>
    <s v="2024-11-11"/>
    <n v="1165"/>
    <s v="Shift 2"/>
    <s v="Press"/>
    <s v="Welding"/>
    <n v="21"/>
    <n v="4"/>
    <s v="Alpha Metals"/>
    <n v="4"/>
    <x v="8"/>
  </r>
  <r>
    <s v="Copper Pipes"/>
    <s v="2024-12-21"/>
    <n v="655"/>
    <s v="Shift 1"/>
    <s v="Drill"/>
    <s v="Painting"/>
    <n v="32"/>
    <n v="9"/>
    <s v="Metro Steel"/>
    <n v="3"/>
    <x v="10"/>
  </r>
  <r>
    <s v="Steel Bolts"/>
    <s v="2024-10-15"/>
    <n v="1992"/>
    <s v="Shift 3"/>
    <s v="Cutter"/>
    <s v="Cutting"/>
    <n v="35"/>
    <n v="6"/>
    <s v="Metro Steel"/>
    <n v="2"/>
    <x v="1"/>
  </r>
  <r>
    <s v="Aluminum Sheets"/>
    <s v="2024-12-09"/>
    <n v="1572"/>
    <s v="Shift 1"/>
    <s v="Press"/>
    <s v="Painting"/>
    <n v="44"/>
    <n v="0"/>
    <s v="Bright Supplies"/>
    <n v="0"/>
    <x v="10"/>
  </r>
  <r>
    <s v="Steel Bolts"/>
    <s v="2024-03-31"/>
    <n v="1466"/>
    <s v="Shift 3"/>
    <s v="Drill"/>
    <s v="Cutting"/>
    <n v="22"/>
    <n v="6"/>
    <s v="Metro Steel"/>
    <n v="0"/>
    <x v="0"/>
  </r>
  <r>
    <s v="Plastic Gears"/>
    <s v="2024-09-29"/>
    <n v="1348"/>
    <s v="Shift 2"/>
    <s v="Cutter"/>
    <s v="Cutting"/>
    <n v="44"/>
    <n v="2"/>
    <s v="Metro Steel"/>
    <n v="3"/>
    <x v="5"/>
  </r>
  <r>
    <s v="Plastic Gears"/>
    <s v="2024-03-07"/>
    <n v="1607"/>
    <s v="Shift 2"/>
    <s v="Lathe"/>
    <s v="Welding"/>
    <n v="44"/>
    <n v="8"/>
    <s v="Bright Supplies"/>
    <n v="3"/>
    <x v="0"/>
  </r>
  <r>
    <s v="Plastic Gears"/>
    <s v="2024-06-06"/>
    <n v="1884"/>
    <s v="Shift 3"/>
    <s v="Press"/>
    <s v="Assembly"/>
    <n v="33"/>
    <n v="5"/>
    <s v="Alpha Metals"/>
    <n v="2"/>
    <x v="3"/>
  </r>
  <r>
    <s v="Copper Pipes"/>
    <s v="2024-05-15"/>
    <n v="1188"/>
    <s v="Shift 2"/>
    <s v="Lathe"/>
    <s v="Welding"/>
    <n v="8"/>
    <n v="8"/>
    <s v="QuickParts"/>
    <n v="5"/>
    <x v="9"/>
  </r>
  <r>
    <s v="Steel Bolts"/>
    <s v="2024-11-24"/>
    <n v="647"/>
    <s v="Shift 2"/>
    <s v="Cutter"/>
    <s v="Assembly"/>
    <n v="23"/>
    <n v="4"/>
    <s v="QuickParts"/>
    <n v="2"/>
    <x v="8"/>
  </r>
  <r>
    <s v="Copper Pipes"/>
    <s v="2024-08-20"/>
    <n v="841"/>
    <s v="Shift 2"/>
    <s v="Press"/>
    <s v="Cutting"/>
    <n v="7"/>
    <n v="6"/>
    <s v="QuickParts"/>
    <n v="4"/>
    <x v="7"/>
  </r>
  <r>
    <s v="Copper Pipes"/>
    <s v="2024-01-12"/>
    <n v="975"/>
    <s v="Shift 2"/>
    <s v="Cutter"/>
    <s v="Welding"/>
    <n v="6"/>
    <n v="3"/>
    <s v="Alpha Metals"/>
    <n v="5"/>
    <x v="2"/>
  </r>
  <r>
    <s v="Plastic Gears"/>
    <s v="2024-08-23"/>
    <n v="1586"/>
    <s v="Shift 3"/>
    <s v="Lathe"/>
    <s v="Assembly"/>
    <n v="35"/>
    <n v="6"/>
    <s v="Metro Steel"/>
    <n v="1"/>
    <x v="7"/>
  </r>
  <r>
    <s v="Plastic Gears"/>
    <s v="2024-12-21"/>
    <n v="1883"/>
    <s v="Shift 1"/>
    <s v="Press"/>
    <s v="Painting"/>
    <n v="17"/>
    <n v="0"/>
    <s v="QuickParts"/>
    <n v="2"/>
    <x v="10"/>
  </r>
  <r>
    <s v="Copper Pipes"/>
    <s v="2024-01-22"/>
    <n v="1060"/>
    <s v="Shift 1"/>
    <s v="Lathe"/>
    <s v="Assembly"/>
    <n v="2"/>
    <n v="6"/>
    <s v="Alpha Metals"/>
    <n v="3"/>
    <x v="2"/>
  </r>
  <r>
    <s v="Steel Bolts"/>
    <s v="2024-06-13"/>
    <n v="826"/>
    <s v="Shift 2"/>
    <s v="Cutter"/>
    <s v="Welding"/>
    <n v="27"/>
    <n v="7"/>
    <s v="Metro Steel"/>
    <n v="5"/>
    <x v="3"/>
  </r>
  <r>
    <s v="Aluminum Sheets"/>
    <s v="2024-11-07"/>
    <n v="1664"/>
    <s v="Shift 1"/>
    <s v="Cutter"/>
    <s v="Painting"/>
    <n v="5"/>
    <n v="4"/>
    <s v="Bright Supplies"/>
    <n v="2"/>
    <x v="8"/>
  </r>
  <r>
    <s v="Copper Pipes"/>
    <s v="2024-02-03"/>
    <n v="1489"/>
    <s v="Shift 1"/>
    <s v="Lathe"/>
    <s v="Assembly"/>
    <n v="43"/>
    <n v="1"/>
    <s v="QuickParts"/>
    <n v="0"/>
    <x v="11"/>
  </r>
  <r>
    <s v="Steel Bolts"/>
    <s v="2024-02-29"/>
    <n v="714"/>
    <s v="Shift 2"/>
    <s v="Press"/>
    <s v="Assembly"/>
    <n v="43"/>
    <n v="4"/>
    <s v="Metro Steel"/>
    <n v="1"/>
    <x v="11"/>
  </r>
  <r>
    <s v="Plastic Gears"/>
    <s v="2024-09-01"/>
    <n v="934"/>
    <s v="Shift 2"/>
    <s v="Lathe"/>
    <s v="Assembly"/>
    <n v="20"/>
    <n v="5"/>
    <s v="QuickParts"/>
    <n v="4"/>
    <x v="5"/>
  </r>
  <r>
    <s v="Plastic Gears"/>
    <s v="2024-04-19"/>
    <n v="1451"/>
    <s v="Shift 1"/>
    <s v="Cutter"/>
    <s v="Assembly"/>
    <n v="27"/>
    <n v="1"/>
    <s v="QuickParts"/>
    <n v="0"/>
    <x v="6"/>
  </r>
  <r>
    <s v="Steel Bolts"/>
    <s v="2024-10-18"/>
    <n v="1222"/>
    <s v="Shift 3"/>
    <s v="Lathe"/>
    <s v="Assembly"/>
    <n v="39"/>
    <n v="5"/>
    <s v="QuickParts"/>
    <n v="0"/>
    <x v="1"/>
  </r>
  <r>
    <s v="Aluminum Sheets"/>
    <s v="2024-01-02"/>
    <n v="1841"/>
    <s v="Shift 2"/>
    <s v="Cutter"/>
    <s v="Painting"/>
    <n v="0"/>
    <n v="5"/>
    <s v="Metro Steel"/>
    <n v="1"/>
    <x v="2"/>
  </r>
  <r>
    <s v="Plastic Gears"/>
    <s v="2024-11-06"/>
    <n v="531"/>
    <s v="Shift 3"/>
    <s v="Lathe"/>
    <s v="Cutting"/>
    <n v="35"/>
    <n v="0"/>
    <s v="Alpha Metals"/>
    <n v="4"/>
    <x v="8"/>
  </r>
  <r>
    <s v="Plastic Gears"/>
    <s v="2024-02-02"/>
    <n v="1169"/>
    <s v="Shift 1"/>
    <s v="Press"/>
    <s v="Painting"/>
    <n v="20"/>
    <n v="0"/>
    <s v="Metro Steel"/>
    <n v="3"/>
    <x v="11"/>
  </r>
  <r>
    <s v="Plastic Gears"/>
    <s v="2024-02-12"/>
    <n v="784"/>
    <s v="Shift 2"/>
    <s v="Press"/>
    <s v="Painting"/>
    <n v="42"/>
    <n v="10"/>
    <s v="QuickParts"/>
    <n v="5"/>
    <x v="11"/>
  </r>
  <r>
    <s v="Steel Bolts"/>
    <s v="2024-10-09"/>
    <n v="1828"/>
    <s v="Shift 3"/>
    <s v="Lathe"/>
    <s v="Painting"/>
    <n v="34"/>
    <n v="9"/>
    <s v="Metro Steel"/>
    <n v="4"/>
    <x v="1"/>
  </r>
  <r>
    <s v="Copper Pipes"/>
    <s v="2024-01-24"/>
    <n v="928"/>
    <s v="Shift 2"/>
    <s v="Lathe"/>
    <s v="Cutting"/>
    <n v="12"/>
    <n v="2"/>
    <s v="Bright Supplies"/>
    <n v="2"/>
    <x v="2"/>
  </r>
  <r>
    <s v="Plastic Gears"/>
    <s v="2024-10-04"/>
    <n v="2000"/>
    <s v="Shift 1"/>
    <s v="Press"/>
    <s v="Welding"/>
    <n v="48"/>
    <n v="9"/>
    <s v="Alpha Metals"/>
    <n v="0"/>
    <x v="1"/>
  </r>
  <r>
    <s v="Copper Pipes"/>
    <s v="2024-01-30"/>
    <n v="785"/>
    <s v="Shift 3"/>
    <s v="Cutter"/>
    <s v="Cutting"/>
    <n v="9"/>
    <n v="9"/>
    <s v="Metro Steel"/>
    <n v="2"/>
    <x v="2"/>
  </r>
  <r>
    <s v="Aluminum Sheets"/>
    <s v="2024-01-22"/>
    <n v="1667"/>
    <s v="Shift 1"/>
    <s v="Press"/>
    <s v="Painting"/>
    <n v="43"/>
    <n v="2"/>
    <s v="Bright Supplies"/>
    <n v="3"/>
    <x v="2"/>
  </r>
  <r>
    <s v="Plastic Gears"/>
    <s v="2024-09-01"/>
    <n v="1947"/>
    <s v="Shift 1"/>
    <s v="Cutter"/>
    <s v="Assembly"/>
    <n v="46"/>
    <n v="3"/>
    <s v="Alpha Metals"/>
    <n v="2"/>
    <x v="5"/>
  </r>
  <r>
    <s v="Plastic Gears"/>
    <s v="2024-02-01"/>
    <n v="1542"/>
    <s v="Shift 2"/>
    <s v="Lathe"/>
    <s v="Assembly"/>
    <n v="9"/>
    <n v="1"/>
    <s v="Bright Supplies"/>
    <n v="4"/>
    <x v="11"/>
  </r>
  <r>
    <s v="Aluminum Sheets"/>
    <s v="2024-10-18"/>
    <n v="517"/>
    <s v="Shift 3"/>
    <s v="Lathe"/>
    <s v="Painting"/>
    <n v="45"/>
    <n v="8"/>
    <s v="Alpha Metals"/>
    <n v="2"/>
    <x v="1"/>
  </r>
  <r>
    <s v="Plastic Gears"/>
    <s v="2024-08-10"/>
    <n v="1268"/>
    <s v="Shift 1"/>
    <s v="Cutter"/>
    <s v="Assembly"/>
    <n v="12"/>
    <n v="9"/>
    <s v="Metro Steel"/>
    <n v="3"/>
    <x v="7"/>
  </r>
  <r>
    <s v="Copper Pipes"/>
    <s v="2024-02-11"/>
    <n v="1089"/>
    <s v="Shift 1"/>
    <s v="Lathe"/>
    <s v="Painting"/>
    <n v="36"/>
    <n v="10"/>
    <s v="Bright Supplies"/>
    <n v="3"/>
    <x v="11"/>
  </r>
  <r>
    <s v="Steel Bolts"/>
    <s v="2024-04-25"/>
    <n v="1894"/>
    <s v="Shift 3"/>
    <s v="Cutter"/>
    <s v="Assembly"/>
    <n v="37"/>
    <n v="6"/>
    <s v="QuickParts"/>
    <n v="3"/>
    <x v="6"/>
  </r>
  <r>
    <s v="Copper Pipes"/>
    <s v="2024-05-06"/>
    <n v="1698"/>
    <s v="Shift 1"/>
    <s v="Drill"/>
    <s v="Cutting"/>
    <n v="23"/>
    <n v="6"/>
    <s v="Bright Supplies"/>
    <n v="4"/>
    <x v="9"/>
  </r>
  <r>
    <s v="Steel Bolts"/>
    <s v="2024-03-10"/>
    <n v="1509"/>
    <s v="Shift 1"/>
    <s v="Press"/>
    <s v="Welding"/>
    <n v="1"/>
    <n v="5"/>
    <s v="Alpha Metals"/>
    <n v="3"/>
    <x v="0"/>
  </r>
  <r>
    <s v="Steel Bolts"/>
    <s v="2024-01-04"/>
    <n v="693"/>
    <s v="Shift 3"/>
    <s v="Drill"/>
    <s v="Welding"/>
    <n v="21"/>
    <n v="2"/>
    <s v="Metro Steel"/>
    <n v="0"/>
    <x v="2"/>
  </r>
  <r>
    <s v="Copper Pipes"/>
    <s v="2024-02-23"/>
    <n v="1001"/>
    <s v="Shift 3"/>
    <s v="Cutter"/>
    <s v="Cutting"/>
    <n v="16"/>
    <n v="5"/>
    <s v="Alpha Metals"/>
    <n v="3"/>
    <x v="11"/>
  </r>
  <r>
    <s v="Copper Pipes"/>
    <s v="2024-12-07"/>
    <n v="1487"/>
    <s v="Shift 3"/>
    <s v="Press"/>
    <s v="Cutting"/>
    <n v="35"/>
    <n v="7"/>
    <s v="Bright Supplies"/>
    <n v="2"/>
    <x v="10"/>
  </r>
  <r>
    <s v="Copper Pipes"/>
    <s v="2024-01-07"/>
    <n v="1636"/>
    <s v="Shift 3"/>
    <s v="Cutter"/>
    <s v="Painting"/>
    <n v="13"/>
    <n v="7"/>
    <s v="Bright Supplies"/>
    <n v="5"/>
    <x v="2"/>
  </r>
  <r>
    <s v="Copper Pipes"/>
    <s v="2024-07-03"/>
    <n v="613"/>
    <s v="Shift 2"/>
    <s v="Press"/>
    <s v="Painting"/>
    <n v="9"/>
    <n v="10"/>
    <s v="QuickParts"/>
    <n v="2"/>
    <x v="4"/>
  </r>
  <r>
    <s v="Aluminum Sheets"/>
    <s v="2024-01-05"/>
    <n v="1745"/>
    <s v="Shift 3"/>
    <s v="Press"/>
    <s v="Painting"/>
    <n v="34"/>
    <n v="8"/>
    <s v="Metro Steel"/>
    <n v="5"/>
    <x v="2"/>
  </r>
  <r>
    <s v="Plastic Gears"/>
    <s v="2024-03-21"/>
    <n v="1446"/>
    <s v="Shift 2"/>
    <s v="Press"/>
    <s v="Assembly"/>
    <n v="24"/>
    <n v="0"/>
    <s v="Metro Steel"/>
    <n v="2"/>
    <x v="0"/>
  </r>
  <r>
    <s v="Steel Bolts"/>
    <s v="2024-01-19"/>
    <n v="1330"/>
    <s v="Shift 2"/>
    <s v="Press"/>
    <s v="Painting"/>
    <n v="2"/>
    <n v="0"/>
    <s v="Bright Supplies"/>
    <n v="4"/>
    <x v="2"/>
  </r>
  <r>
    <s v="Copper Pipes"/>
    <s v="2024-09-20"/>
    <n v="1787"/>
    <s v="Shift 2"/>
    <s v="Cutter"/>
    <s v="Cutting"/>
    <n v="46"/>
    <n v="2"/>
    <s v="Metro Steel"/>
    <n v="2"/>
    <x v="5"/>
  </r>
  <r>
    <s v="Copper Pipes"/>
    <s v="2024-07-10"/>
    <n v="1424"/>
    <s v="Shift 1"/>
    <s v="Press"/>
    <s v="Welding"/>
    <n v="37"/>
    <n v="2"/>
    <s v="QuickParts"/>
    <n v="4"/>
    <x v="4"/>
  </r>
  <r>
    <s v="Copper Pipes"/>
    <s v="2024-07-01"/>
    <n v="554"/>
    <s v="Shift 2"/>
    <s v="Press"/>
    <s v="Assembly"/>
    <n v="16"/>
    <n v="9"/>
    <s v="Alpha Metals"/>
    <n v="4"/>
    <x v="4"/>
  </r>
  <r>
    <s v="Aluminum Sheets"/>
    <s v="2024-10-15"/>
    <n v="1299"/>
    <s v="Shift 2"/>
    <s v="Drill"/>
    <s v="Painting"/>
    <n v="11"/>
    <n v="7"/>
    <s v="Metro Steel"/>
    <n v="3"/>
    <x v="1"/>
  </r>
  <r>
    <s v="Copper Pipes"/>
    <s v="2024-05-13"/>
    <n v="1277"/>
    <s v="Shift 1"/>
    <s v="Lathe"/>
    <s v="Assembly"/>
    <n v="23"/>
    <n v="9"/>
    <s v="Bright Supplies"/>
    <n v="0"/>
    <x v="9"/>
  </r>
  <r>
    <s v="Copper Pipes"/>
    <s v="2024-06-25"/>
    <n v="1981"/>
    <s v="Shift 1"/>
    <s v="Lathe"/>
    <s v="Assembly"/>
    <n v="28"/>
    <n v="0"/>
    <s v="Alpha Metals"/>
    <n v="5"/>
    <x v="3"/>
  </r>
  <r>
    <s v="Copper Pipes"/>
    <s v="2024-08-29"/>
    <n v="661"/>
    <s v="Shift 1"/>
    <s v="Drill"/>
    <s v="Painting"/>
    <n v="42"/>
    <n v="1"/>
    <s v="Alpha Metals"/>
    <n v="3"/>
    <x v="7"/>
  </r>
  <r>
    <s v="Plastic Gears"/>
    <s v="2024-05-28"/>
    <n v="1903"/>
    <s v="Shift 3"/>
    <s v="Drill"/>
    <s v="Assembly"/>
    <n v="24"/>
    <n v="1"/>
    <s v="QuickParts"/>
    <n v="3"/>
    <x v="9"/>
  </r>
  <r>
    <s v="Aluminum Sheets"/>
    <s v="2024-03-05"/>
    <n v="586"/>
    <s v="Shift 1"/>
    <s v="Cutter"/>
    <s v="Welding"/>
    <n v="35"/>
    <n v="2"/>
    <s v="Bright Supplies"/>
    <n v="4"/>
    <x v="0"/>
  </r>
  <r>
    <s v="Copper Pipes"/>
    <s v="2024-03-06"/>
    <n v="554"/>
    <s v="Shift 1"/>
    <s v="Cutter"/>
    <s v="Cutting"/>
    <n v="25"/>
    <n v="5"/>
    <s v="Metro Steel"/>
    <n v="4"/>
    <x v="0"/>
  </r>
  <r>
    <s v="Steel Bolts"/>
    <s v="2024-05-27"/>
    <n v="1999"/>
    <s v="Shift 2"/>
    <s v="Cutter"/>
    <s v="Cutting"/>
    <n v="37"/>
    <n v="0"/>
    <s v="Bright Supplies"/>
    <n v="5"/>
    <x v="9"/>
  </r>
  <r>
    <s v="Steel Bolts"/>
    <s v="2024-01-12"/>
    <n v="1701"/>
    <s v="Shift 1"/>
    <s v="Drill"/>
    <s v="Welding"/>
    <n v="0"/>
    <n v="1"/>
    <s v="Alpha Metals"/>
    <n v="2"/>
    <x v="2"/>
  </r>
  <r>
    <s v="Steel Bolts"/>
    <s v="2024-01-11"/>
    <n v="1914"/>
    <s v="Shift 3"/>
    <s v="Drill"/>
    <s v="Assembly"/>
    <n v="19"/>
    <n v="0"/>
    <s v="Bright Supplies"/>
    <n v="2"/>
    <x v="2"/>
  </r>
  <r>
    <s v="Aluminum Sheets"/>
    <s v="2024-09-20"/>
    <n v="1872"/>
    <s v="Shift 1"/>
    <s v="Press"/>
    <s v="Painting"/>
    <n v="27"/>
    <n v="4"/>
    <s v="Metro Steel"/>
    <n v="3"/>
    <x v="5"/>
  </r>
  <r>
    <s v="Aluminum Sheets"/>
    <s v="2024-08-27"/>
    <n v="1531"/>
    <s v="Shift 3"/>
    <s v="Cutter"/>
    <s v="Assembly"/>
    <n v="15"/>
    <n v="6"/>
    <s v="Metro Steel"/>
    <n v="1"/>
    <x v="7"/>
  </r>
  <r>
    <s v="Steel Bolts"/>
    <s v="2024-06-23"/>
    <n v="1332"/>
    <s v="Shift 1"/>
    <s v="Cutter"/>
    <s v="Welding"/>
    <n v="46"/>
    <n v="7"/>
    <s v="QuickParts"/>
    <n v="1"/>
    <x v="3"/>
  </r>
  <r>
    <s v="Copper Pipes"/>
    <s v="2024-07-29"/>
    <n v="812"/>
    <s v="Shift 1"/>
    <s v="Cutter"/>
    <s v="Assembly"/>
    <n v="16"/>
    <n v="9"/>
    <s v="Metro Steel"/>
    <n v="2"/>
    <x v="4"/>
  </r>
  <r>
    <s v="Aluminum Sheets"/>
    <s v="2024-08-19"/>
    <n v="1258"/>
    <s v="Shift 1"/>
    <s v="Lathe"/>
    <s v="Cutting"/>
    <n v="39"/>
    <n v="0"/>
    <s v="Metro Steel"/>
    <n v="1"/>
    <x v="7"/>
  </r>
  <r>
    <s v="Steel Bolts"/>
    <s v="2024-03-14"/>
    <n v="942"/>
    <s v="Shift 1"/>
    <s v="Press"/>
    <s v="Assembly"/>
    <n v="27"/>
    <n v="6"/>
    <s v="Bright Supplies"/>
    <n v="2"/>
    <x v="0"/>
  </r>
  <r>
    <s v="Steel Bolts"/>
    <s v="2024-06-29"/>
    <n v="827"/>
    <s v="Shift 3"/>
    <s v="Cutter"/>
    <s v="Welding"/>
    <n v="11"/>
    <n v="4"/>
    <s v="Bright Supplies"/>
    <n v="4"/>
    <x v="3"/>
  </r>
  <r>
    <s v="Copper Pipes"/>
    <s v="2024-11-30"/>
    <n v="1577"/>
    <s v="Shift 3"/>
    <s v="Cutter"/>
    <s v="Cutting"/>
    <n v="26"/>
    <n v="9"/>
    <s v="Alpha Metals"/>
    <n v="3"/>
    <x v="8"/>
  </r>
  <r>
    <s v="Plastic Gears"/>
    <s v="2024-03-12"/>
    <n v="1260"/>
    <s v="Shift 2"/>
    <s v="Cutter"/>
    <s v="Assembly"/>
    <n v="41"/>
    <n v="0"/>
    <s v="QuickParts"/>
    <n v="0"/>
    <x v="0"/>
  </r>
  <r>
    <s v="Aluminum Sheets"/>
    <s v="2024-03-02"/>
    <n v="1762"/>
    <s v="Shift 3"/>
    <s v="Lathe"/>
    <s v="Assembly"/>
    <n v="46"/>
    <n v="2"/>
    <s v="Bright Supplies"/>
    <n v="3"/>
    <x v="0"/>
  </r>
  <r>
    <s v="Copper Pipes"/>
    <s v="2024-04-09"/>
    <n v="1752"/>
    <s v="Shift 1"/>
    <s v="Lathe"/>
    <s v="Cutting"/>
    <n v="29"/>
    <n v="6"/>
    <s v="Metro Steel"/>
    <n v="2"/>
    <x v="6"/>
  </r>
  <r>
    <s v="Steel Bolts"/>
    <s v="2024-11-18"/>
    <n v="1078"/>
    <s v="Shift 2"/>
    <s v="Drill"/>
    <s v="Painting"/>
    <n v="40"/>
    <n v="9"/>
    <s v="Alpha Metals"/>
    <n v="2"/>
    <x v="8"/>
  </r>
  <r>
    <s v="Steel Bolts"/>
    <s v="2024-11-23"/>
    <n v="1574"/>
    <s v="Shift 2"/>
    <s v="Press"/>
    <s v="Cutting"/>
    <n v="33"/>
    <n v="0"/>
    <s v="Bright Supplies"/>
    <n v="3"/>
    <x v="8"/>
  </r>
  <r>
    <s v="Copper Pipes"/>
    <s v="2024-06-24"/>
    <n v="1506"/>
    <s v="Shift 2"/>
    <s v="Drill"/>
    <s v="Painting"/>
    <n v="36"/>
    <n v="6"/>
    <s v="QuickParts"/>
    <n v="5"/>
    <x v="3"/>
  </r>
  <r>
    <s v="Aluminum Sheets"/>
    <s v="2024-12-01"/>
    <n v="1787"/>
    <s v="Shift 1"/>
    <s v="Press"/>
    <s v="Welding"/>
    <n v="5"/>
    <n v="4"/>
    <s v="QuickParts"/>
    <n v="2"/>
    <x v="10"/>
  </r>
  <r>
    <s v="Plastic Gears"/>
    <s v="2024-12-10"/>
    <n v="1941"/>
    <s v="Shift 3"/>
    <s v="Lathe"/>
    <s v="Welding"/>
    <n v="6"/>
    <n v="0"/>
    <s v="Alpha Metals"/>
    <n v="1"/>
    <x v="10"/>
  </r>
  <r>
    <s v="Plastic Gears"/>
    <s v="2024-09-20"/>
    <n v="595"/>
    <s v="Shift 1"/>
    <s v="Cutter"/>
    <s v="Cutting"/>
    <n v="31"/>
    <n v="0"/>
    <s v="Alpha Metals"/>
    <n v="1"/>
    <x v="5"/>
  </r>
  <r>
    <s v="Steel Bolts"/>
    <s v="2024-11-11"/>
    <n v="1611"/>
    <s v="Shift 2"/>
    <s v="Drill"/>
    <s v="Cutting"/>
    <n v="31"/>
    <n v="0"/>
    <s v="Alpha Metals"/>
    <n v="2"/>
    <x v="8"/>
  </r>
  <r>
    <s v="Aluminum Sheets"/>
    <s v="2024-08-12"/>
    <n v="1601"/>
    <s v="Shift 1"/>
    <s v="Cutter"/>
    <s v="Welding"/>
    <n v="24"/>
    <n v="10"/>
    <s v="Alpha Metals"/>
    <n v="2"/>
    <x v="7"/>
  </r>
  <r>
    <s v="Plastic Gears"/>
    <s v="2024-07-19"/>
    <n v="1811"/>
    <s v="Shift 1"/>
    <s v="Drill"/>
    <s v="Painting"/>
    <n v="32"/>
    <n v="8"/>
    <s v="Alpha Metals"/>
    <n v="5"/>
    <x v="4"/>
  </r>
  <r>
    <s v="Aluminum Sheets"/>
    <s v="2024-07-21"/>
    <n v="1643"/>
    <s v="Shift 3"/>
    <s v="Lathe"/>
    <s v="Welding"/>
    <n v="6"/>
    <n v="10"/>
    <s v="Metro Steel"/>
    <n v="1"/>
    <x v="4"/>
  </r>
  <r>
    <s v="Aluminum Sheets"/>
    <s v="2024-11-19"/>
    <n v="1313"/>
    <s v="Shift 3"/>
    <s v="Lathe"/>
    <s v="Cutting"/>
    <n v="11"/>
    <n v="2"/>
    <s v="Metro Steel"/>
    <n v="2"/>
    <x v="8"/>
  </r>
  <r>
    <s v="Steel Bolts"/>
    <s v="2024-02-21"/>
    <n v="990"/>
    <s v="Shift 2"/>
    <s v="Lathe"/>
    <s v="Welding"/>
    <n v="15"/>
    <n v="4"/>
    <s v="Bright Supplies"/>
    <n v="2"/>
    <x v="11"/>
  </r>
  <r>
    <s v="Plastic Gears"/>
    <s v="2024-08-25"/>
    <n v="951"/>
    <s v="Shift 1"/>
    <s v="Drill"/>
    <s v="Cutting"/>
    <n v="15"/>
    <n v="10"/>
    <s v="QuickParts"/>
    <n v="5"/>
    <x v="7"/>
  </r>
  <r>
    <s v="Copper Pipes"/>
    <s v="2024-10-28"/>
    <n v="664"/>
    <s v="Shift 1"/>
    <s v="Press"/>
    <s v="Cutting"/>
    <n v="42"/>
    <n v="9"/>
    <s v="Metro Steel"/>
    <n v="5"/>
    <x v="1"/>
  </r>
  <r>
    <s v="Steel Bolts"/>
    <s v="2024-02-12"/>
    <n v="681"/>
    <s v="Shift 3"/>
    <s v="Drill"/>
    <s v="Welding"/>
    <n v="35"/>
    <n v="8"/>
    <s v="Metro Steel"/>
    <n v="3"/>
    <x v="11"/>
  </r>
  <r>
    <s v="Plastic Gears"/>
    <s v="2024-09-01"/>
    <n v="968"/>
    <s v="Shift 1"/>
    <s v="Press"/>
    <s v="Painting"/>
    <n v="12"/>
    <n v="5"/>
    <s v="Metro Steel"/>
    <n v="5"/>
    <x v="5"/>
  </r>
  <r>
    <s v="Plastic Gears"/>
    <s v="2024-01-13"/>
    <n v="1409"/>
    <s v="Shift 1"/>
    <s v="Drill"/>
    <s v="Assembly"/>
    <n v="6"/>
    <n v="8"/>
    <s v="Bright Supplies"/>
    <n v="0"/>
    <x v="2"/>
  </r>
  <r>
    <s v="Plastic Gears"/>
    <s v="2024-08-10"/>
    <n v="1234"/>
    <s v="Shift 1"/>
    <s v="Drill"/>
    <s v="Welding"/>
    <n v="35"/>
    <n v="7"/>
    <s v="Alpha Metals"/>
    <n v="1"/>
    <x v="7"/>
  </r>
  <r>
    <s v="Plastic Gears"/>
    <s v="2024-04-26"/>
    <n v="1322"/>
    <s v="Shift 3"/>
    <s v="Lathe"/>
    <s v="Assembly"/>
    <n v="46"/>
    <n v="7"/>
    <s v="Bright Supplies"/>
    <n v="3"/>
    <x v="6"/>
  </r>
  <r>
    <s v="Plastic Gears"/>
    <s v="2024-07-29"/>
    <n v="1443"/>
    <s v="Shift 2"/>
    <s v="Cutter"/>
    <s v="Welding"/>
    <n v="50"/>
    <n v="0"/>
    <s v="QuickParts"/>
    <n v="0"/>
    <x v="4"/>
  </r>
  <r>
    <s v="Aluminum Sheets"/>
    <s v="2024-11-18"/>
    <n v="506"/>
    <s v="Shift 2"/>
    <s v="Cutter"/>
    <s v="Assembly"/>
    <n v="8"/>
    <n v="8"/>
    <s v="QuickParts"/>
    <n v="2"/>
    <x v="8"/>
  </r>
  <r>
    <s v="Steel Bolts"/>
    <s v="2024-12-17"/>
    <n v="829"/>
    <s v="Shift 1"/>
    <s v="Press"/>
    <s v="Painting"/>
    <n v="31"/>
    <n v="5"/>
    <s v="QuickParts"/>
    <n v="2"/>
    <x v="10"/>
  </r>
  <r>
    <s v="Aluminum Sheets"/>
    <s v="2024-11-27"/>
    <n v="1274"/>
    <s v="Shift 2"/>
    <s v="Cutter"/>
    <s v="Painting"/>
    <n v="10"/>
    <n v="8"/>
    <s v="QuickParts"/>
    <n v="3"/>
    <x v="8"/>
  </r>
  <r>
    <s v="Copper Pipes"/>
    <s v="2024-02-20"/>
    <n v="650"/>
    <s v="Shift 3"/>
    <s v="Drill"/>
    <s v="Welding"/>
    <n v="7"/>
    <n v="2"/>
    <s v="Metro Steel"/>
    <n v="5"/>
    <x v="11"/>
  </r>
  <r>
    <s v="Plastic Gears"/>
    <s v="2024-10-20"/>
    <n v="1608"/>
    <s v="Shift 3"/>
    <s v="Drill"/>
    <s v="Cutting"/>
    <n v="32"/>
    <n v="2"/>
    <s v="Metro Steel"/>
    <n v="2"/>
    <x v="1"/>
  </r>
  <r>
    <s v="Steel Bolts"/>
    <s v="2024-02-28"/>
    <n v="646"/>
    <s v="Shift 2"/>
    <s v="Lathe"/>
    <s v="Assembly"/>
    <n v="22"/>
    <n v="5"/>
    <s v="Bright Supplies"/>
    <n v="4"/>
    <x v="11"/>
  </r>
  <r>
    <s v="Plastic Gears"/>
    <s v="2024-07-07"/>
    <n v="1904"/>
    <s v="Shift 2"/>
    <s v="Lathe"/>
    <s v="Cutting"/>
    <n v="24"/>
    <n v="8"/>
    <s v="Alpha Metals"/>
    <n v="3"/>
    <x v="4"/>
  </r>
  <r>
    <s v="Steel Bolts"/>
    <s v="2024-05-08"/>
    <n v="1414"/>
    <s v="Shift 1"/>
    <s v="Cutter"/>
    <s v="Cutting"/>
    <n v="7"/>
    <n v="6"/>
    <s v="QuickParts"/>
    <n v="0"/>
    <x v="9"/>
  </r>
  <r>
    <s v="Aluminum Sheets"/>
    <s v="2024-02-05"/>
    <n v="1808"/>
    <s v="Shift 2"/>
    <s v="Press"/>
    <s v="Cutting"/>
    <n v="44"/>
    <n v="2"/>
    <s v="Bright Supplies"/>
    <n v="3"/>
    <x v="11"/>
  </r>
  <r>
    <s v="Steel Bolts"/>
    <s v="2024-07-12"/>
    <n v="1199"/>
    <s v="Shift 1"/>
    <s v="Cutter"/>
    <s v="Painting"/>
    <n v="21"/>
    <n v="2"/>
    <s v="Metro Steel"/>
    <n v="1"/>
    <x v="4"/>
  </r>
  <r>
    <s v="Copper Pipes"/>
    <s v="2024-01-08"/>
    <n v="581"/>
    <s v="Shift 1"/>
    <s v="Cutter"/>
    <s v="Welding"/>
    <n v="3"/>
    <n v="1"/>
    <s v="Metro Steel"/>
    <n v="5"/>
    <x v="2"/>
  </r>
  <r>
    <s v="Copper Pipes"/>
    <s v="2024-11-25"/>
    <n v="1013"/>
    <s v="Shift 3"/>
    <s v="Cutter"/>
    <s v="Welding"/>
    <n v="39"/>
    <n v="8"/>
    <s v="Alpha Metals"/>
    <n v="5"/>
    <x v="8"/>
  </r>
  <r>
    <s v="Steel Bolts"/>
    <s v="2024-01-26"/>
    <n v="1314"/>
    <s v="Shift 3"/>
    <s v="Cutter"/>
    <s v="Painting"/>
    <n v="2"/>
    <n v="2"/>
    <s v="Alpha Metals"/>
    <n v="3"/>
    <x v="2"/>
  </r>
  <r>
    <s v="Steel Bolts"/>
    <s v="2024-07-18"/>
    <n v="1208"/>
    <s v="Shift 3"/>
    <s v="Drill"/>
    <s v="Painting"/>
    <n v="28"/>
    <n v="10"/>
    <s v="Alpha Metals"/>
    <n v="2"/>
    <x v="4"/>
  </r>
  <r>
    <s v="Steel Bolts"/>
    <s v="2024-03-31"/>
    <n v="1245"/>
    <s v="Shift 3"/>
    <s v="Press"/>
    <s v="Welding"/>
    <n v="40"/>
    <n v="4"/>
    <s v="Bright Supplies"/>
    <n v="2"/>
    <x v="0"/>
  </r>
  <r>
    <s v="Steel Bolts"/>
    <s v="2024-01-17"/>
    <n v="1522"/>
    <s v="Shift 2"/>
    <s v="Drill"/>
    <s v="Cutting"/>
    <n v="28"/>
    <n v="8"/>
    <s v="Metro Steel"/>
    <n v="4"/>
    <x v="2"/>
  </r>
  <r>
    <s v="Copper Pipes"/>
    <s v="2024-03-04"/>
    <n v="1909"/>
    <s v="Shift 3"/>
    <s v="Press"/>
    <s v="Assembly"/>
    <n v="33"/>
    <n v="7"/>
    <s v="Metro Steel"/>
    <n v="4"/>
    <x v="0"/>
  </r>
  <r>
    <s v="Plastic Gears"/>
    <s v="2024-09-03"/>
    <n v="1206"/>
    <s v="Shift 2"/>
    <s v="Lathe"/>
    <s v="Assembly"/>
    <n v="33"/>
    <n v="1"/>
    <s v="Alpha Metals"/>
    <n v="5"/>
    <x v="5"/>
  </r>
  <r>
    <s v="Steel Bolts"/>
    <s v="2024-08-26"/>
    <n v="970"/>
    <s v="Shift 3"/>
    <s v="Cutter"/>
    <s v="Assembly"/>
    <n v="27"/>
    <n v="2"/>
    <s v="QuickParts"/>
    <n v="4"/>
    <x v="7"/>
  </r>
  <r>
    <s v="Steel Bolts"/>
    <s v="2024-12-07"/>
    <n v="1642"/>
    <s v="Shift 2"/>
    <s v="Drill"/>
    <s v="Cutting"/>
    <n v="12"/>
    <n v="1"/>
    <s v="Alpha Metals"/>
    <n v="0"/>
    <x v="10"/>
  </r>
  <r>
    <s v="Copper Pipes"/>
    <s v="2024-04-30"/>
    <n v="895"/>
    <s v="Shift 1"/>
    <s v="Press"/>
    <s v="Welding"/>
    <n v="14"/>
    <n v="7"/>
    <s v="Bright Supplies"/>
    <n v="4"/>
    <x v="6"/>
  </r>
  <r>
    <s v="Copper Pipes"/>
    <s v="2024-02-18"/>
    <n v="760"/>
    <s v="Shift 2"/>
    <s v="Lathe"/>
    <s v="Painting"/>
    <n v="22"/>
    <n v="5"/>
    <s v="Alpha Metals"/>
    <n v="0"/>
    <x v="11"/>
  </r>
  <r>
    <s v="Aluminum Sheets"/>
    <s v="2024-02-24"/>
    <n v="1304"/>
    <s v="Shift 2"/>
    <s v="Lathe"/>
    <s v="Welding"/>
    <n v="43"/>
    <n v="5"/>
    <s v="Alpha Metals"/>
    <n v="4"/>
    <x v="11"/>
  </r>
  <r>
    <s v="Steel Bolts"/>
    <s v="2024-12-14"/>
    <n v="1433"/>
    <s v="Shift 3"/>
    <s v="Cutter"/>
    <s v="Cutting"/>
    <n v="25"/>
    <n v="8"/>
    <s v="Bright Supplies"/>
    <n v="5"/>
    <x v="10"/>
  </r>
  <r>
    <s v="Aluminum Sheets"/>
    <s v="2024-09-23"/>
    <n v="1779"/>
    <s v="Shift 2"/>
    <s v="Press"/>
    <s v="Painting"/>
    <n v="3"/>
    <n v="7"/>
    <s v="Alpha Metals"/>
    <n v="5"/>
    <x v="5"/>
  </r>
  <r>
    <s v="Copper Pipes"/>
    <s v="2024-06-06"/>
    <n v="1404"/>
    <s v="Shift 1"/>
    <s v="Drill"/>
    <s v="Cutting"/>
    <n v="25"/>
    <n v="3"/>
    <s v="Metro Steel"/>
    <n v="0"/>
    <x v="3"/>
  </r>
  <r>
    <s v="Copper Pipes"/>
    <s v="2024-08-25"/>
    <n v="1749"/>
    <s v="Shift 1"/>
    <s v="Cutter"/>
    <s v="Assembly"/>
    <n v="39"/>
    <n v="3"/>
    <s v="QuickParts"/>
    <n v="3"/>
    <x v="7"/>
  </r>
  <r>
    <s v="Plastic Gears"/>
    <s v="2024-06-10"/>
    <n v="1576"/>
    <s v="Shift 3"/>
    <s v="Drill"/>
    <s v="Assembly"/>
    <n v="8"/>
    <n v="8"/>
    <s v="Alpha Metals"/>
    <n v="5"/>
    <x v="3"/>
  </r>
  <r>
    <s v="Steel Bolts"/>
    <s v="2024-11-04"/>
    <n v="1439"/>
    <s v="Shift 1"/>
    <s v="Lathe"/>
    <s v="Cutting"/>
    <n v="4"/>
    <n v="0"/>
    <s v="Bright Supplies"/>
    <n v="3"/>
    <x v="8"/>
  </r>
  <r>
    <s v="Aluminum Sheets"/>
    <s v="2024-01-28"/>
    <n v="1353"/>
    <s v="Shift 2"/>
    <s v="Drill"/>
    <s v="Painting"/>
    <n v="31"/>
    <n v="1"/>
    <s v="QuickParts"/>
    <n v="2"/>
    <x v="2"/>
  </r>
  <r>
    <s v="Copper Pipes"/>
    <s v="2024-10-31"/>
    <n v="1887"/>
    <s v="Shift 1"/>
    <s v="Drill"/>
    <s v="Painting"/>
    <n v="19"/>
    <n v="1"/>
    <s v="Bright Supplies"/>
    <n v="0"/>
    <x v="1"/>
  </r>
  <r>
    <s v="Copper Pipes"/>
    <s v="2024-04-23"/>
    <n v="1803"/>
    <s v="Shift 3"/>
    <s v="Cutter"/>
    <s v="Welding"/>
    <n v="49"/>
    <n v="5"/>
    <s v="QuickParts"/>
    <n v="5"/>
    <x v="6"/>
  </r>
  <r>
    <s v="Aluminum Sheets"/>
    <s v="2024-02-20"/>
    <n v="1092"/>
    <s v="Shift 2"/>
    <s v="Drill"/>
    <s v="Assembly"/>
    <n v="10"/>
    <n v="3"/>
    <s v="QuickParts"/>
    <n v="1"/>
    <x v="11"/>
  </r>
  <r>
    <s v="Plastic Gears"/>
    <s v="2024-09-05"/>
    <n v="1213"/>
    <s v="Shift 3"/>
    <s v="Cutter"/>
    <s v="Welding"/>
    <n v="14"/>
    <n v="10"/>
    <s v="Alpha Metals"/>
    <n v="2"/>
    <x v="5"/>
  </r>
  <r>
    <s v="Copper Pipes"/>
    <s v="2024-08-14"/>
    <n v="1681"/>
    <s v="Shift 2"/>
    <s v="Lathe"/>
    <s v="Welding"/>
    <n v="31"/>
    <n v="9"/>
    <s v="Metro Steel"/>
    <n v="3"/>
    <x v="7"/>
  </r>
  <r>
    <s v="Steel Bolts"/>
    <s v="2024-06-09"/>
    <n v="1131"/>
    <s v="Shift 1"/>
    <s v="Cutter"/>
    <s v="Cutting"/>
    <n v="27"/>
    <n v="2"/>
    <s v="Alpha Metals"/>
    <n v="5"/>
    <x v="3"/>
  </r>
  <r>
    <s v="Copper Pipes"/>
    <s v="2024-12-31"/>
    <n v="558"/>
    <s v="Shift 3"/>
    <s v="Cutter"/>
    <s v="Cutting"/>
    <n v="21"/>
    <n v="2"/>
    <s v="Bright Supplies"/>
    <n v="0"/>
    <x v="10"/>
  </r>
  <r>
    <s v="Steel Bolts"/>
    <s v="2024-04-22"/>
    <n v="627"/>
    <s v="Shift 3"/>
    <s v="Press"/>
    <s v="Welding"/>
    <n v="40"/>
    <n v="2"/>
    <s v="Bright Supplies"/>
    <n v="4"/>
    <x v="6"/>
  </r>
  <r>
    <s v="Aluminum Sheets"/>
    <s v="2024-08-15"/>
    <n v="1235"/>
    <s v="Shift 2"/>
    <s v="Drill"/>
    <s v="Assembly"/>
    <n v="16"/>
    <n v="5"/>
    <s v="QuickParts"/>
    <n v="1"/>
    <x v="7"/>
  </r>
  <r>
    <s v="Steel Bolts"/>
    <s v="2024-12-15"/>
    <n v="1220"/>
    <s v="Shift 3"/>
    <s v="Lathe"/>
    <s v="Cutting"/>
    <n v="25"/>
    <n v="7"/>
    <s v="QuickParts"/>
    <n v="3"/>
    <x v="10"/>
  </r>
  <r>
    <s v="Aluminum Sheets"/>
    <s v="2024-07-08"/>
    <n v="1638"/>
    <s v="Shift 2"/>
    <s v="Cutter"/>
    <s v="Welding"/>
    <n v="43"/>
    <n v="10"/>
    <s v="Metro Steel"/>
    <n v="2"/>
    <x v="4"/>
  </r>
  <r>
    <s v="Steel Bolts"/>
    <s v="2024-12-17"/>
    <n v="1732"/>
    <s v="Shift 2"/>
    <s v="Lathe"/>
    <s v="Welding"/>
    <n v="6"/>
    <n v="6"/>
    <s v="Alpha Metals"/>
    <n v="0"/>
    <x v="10"/>
  </r>
  <r>
    <s v="Aluminum Sheets"/>
    <s v="2024-09-17"/>
    <n v="1025"/>
    <s v="Shift 2"/>
    <s v="Press"/>
    <s v="Welding"/>
    <n v="41"/>
    <n v="3"/>
    <s v="Bright Supplies"/>
    <n v="1"/>
    <x v="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00">
  <r>
    <s v="Aluminum Sheets"/>
    <s v="2024-03-19"/>
    <n v="1372"/>
    <s v="Shift 1"/>
    <s v="Drill"/>
    <s v="Painting"/>
    <n v="8"/>
    <n v="8"/>
    <s v="Alpha Metals"/>
    <n v="1"/>
  </r>
  <r>
    <s v="Copper Pipes"/>
    <s v="2024-10-22"/>
    <n v="1796"/>
    <s v="Shift 2"/>
    <s v="Lathe"/>
    <s v="Cutting"/>
    <n v="8"/>
    <n v="9"/>
    <s v="Bright Supplies"/>
    <n v="4"/>
  </r>
  <r>
    <s v="Steel Bolts"/>
    <s v="2024-01-04"/>
    <n v="561"/>
    <s v="Shift 1"/>
    <s v="Drill"/>
    <s v="Painting"/>
    <n v="3"/>
    <n v="8"/>
    <s v="Bright Supplies"/>
    <n v="3"/>
  </r>
  <r>
    <s v="Aluminum Sheets"/>
    <s v="2024-06-20"/>
    <n v="1095"/>
    <s v="Shift 1"/>
    <s v="Cutter"/>
    <s v="Assembly"/>
    <n v="34"/>
    <n v="9"/>
    <s v="Alpha Metals"/>
    <n v="1"/>
  </r>
  <r>
    <s v="Aluminum Sheets"/>
    <s v="2024-07-09"/>
    <n v="1228"/>
    <s v="Shift 3"/>
    <s v="Press"/>
    <s v="Assembly"/>
    <n v="16"/>
    <n v="10"/>
    <s v="QuickParts"/>
    <n v="0"/>
  </r>
  <r>
    <s v="Copper Pipes"/>
    <s v="2024-09-08"/>
    <n v="1865"/>
    <s v="Shift 1"/>
    <s v="Cutter"/>
    <s v="Welding"/>
    <n v="33"/>
    <n v="2"/>
    <s v="Alpha Metals"/>
    <n v="0"/>
  </r>
  <r>
    <s v="Steel Bolts"/>
    <s v="2024-04-26"/>
    <n v="896"/>
    <s v="Shift 2"/>
    <s v="Lathe"/>
    <s v="Cutting"/>
    <n v="23"/>
    <n v="10"/>
    <s v="Alpha Metals"/>
    <n v="3"/>
  </r>
  <r>
    <s v="Steel Bolts"/>
    <s v="2024-04-24"/>
    <n v="1198"/>
    <s v="Shift 2"/>
    <s v="Cutter"/>
    <s v="Welding"/>
    <n v="31"/>
    <n v="4"/>
    <s v="Bright Supplies"/>
    <n v="3"/>
  </r>
  <r>
    <s v="Aluminum Sheets"/>
    <s v="2024-07-27"/>
    <n v="1542"/>
    <s v="Shift 3"/>
    <s v="Press"/>
    <s v="Assembly"/>
    <n v="0"/>
    <n v="7"/>
    <s v="Alpha Metals"/>
    <n v="5"/>
  </r>
  <r>
    <s v="Plastic Gears"/>
    <s v="2024-03-26"/>
    <n v="676"/>
    <s v="Shift 2"/>
    <s v="Cutter"/>
    <s v="Painting"/>
    <n v="7"/>
    <n v="7"/>
    <s v="QuickParts"/>
    <n v="2"/>
  </r>
  <r>
    <s v="Aluminum Sheets"/>
    <s v="2024-08-14"/>
    <n v="895"/>
    <s v="Shift 2"/>
    <s v="Lathe"/>
    <s v="Welding"/>
    <n v="44"/>
    <n v="3"/>
    <s v="Alpha Metals"/>
    <n v="1"/>
  </r>
  <r>
    <s v="Aluminum Sheets"/>
    <s v="2024-11-30"/>
    <n v="944"/>
    <s v="Shift 2"/>
    <s v="Drill"/>
    <s v="Welding"/>
    <n v="22"/>
    <n v="10"/>
    <s v="QuickParts"/>
    <n v="3"/>
  </r>
  <r>
    <s v="Aluminum Sheets"/>
    <s v="2024-08-14"/>
    <n v="1756"/>
    <s v="Shift 1"/>
    <s v="Cutter"/>
    <s v="Painting"/>
    <n v="46"/>
    <n v="10"/>
    <s v="QuickParts"/>
    <n v="2"/>
  </r>
  <r>
    <s v="Aluminum Sheets"/>
    <s v="2024-06-22"/>
    <n v="575"/>
    <s v="Shift 1"/>
    <s v="Lathe"/>
    <s v="Welding"/>
    <n v="39"/>
    <n v="0"/>
    <s v="Bright Supplies"/>
    <n v="5"/>
  </r>
  <r>
    <s v="Copper Pipes"/>
    <s v="2024-03-26"/>
    <n v="764"/>
    <s v="Shift 2"/>
    <s v="Lathe"/>
    <s v="Painting"/>
    <n v="11"/>
    <n v="0"/>
    <s v="Metro Steel"/>
    <n v="2"/>
  </r>
  <r>
    <s v="Steel Bolts"/>
    <s v="2024-08-21"/>
    <n v="954"/>
    <s v="Shift 3"/>
    <s v="Press"/>
    <s v="Cutting"/>
    <n v="11"/>
    <n v="3"/>
    <s v="Metro Steel"/>
    <n v="3"/>
  </r>
  <r>
    <s v="Copper Pipes"/>
    <s v="2024-06-13"/>
    <n v="1217"/>
    <s v="Shift 1"/>
    <s v="Press"/>
    <s v="Painting"/>
    <n v="45"/>
    <n v="5"/>
    <s v="Bright Supplies"/>
    <n v="0"/>
  </r>
  <r>
    <s v="Copper Pipes"/>
    <s v="2024-08-20"/>
    <n v="1234"/>
    <s v="Shift 3"/>
    <s v="Cutter"/>
    <s v="Cutting"/>
    <n v="46"/>
    <n v="7"/>
    <s v="Alpha Metals"/>
    <n v="1"/>
  </r>
  <r>
    <s v="Copper Pipes"/>
    <s v="2024-07-28"/>
    <n v="1907"/>
    <s v="Shift 2"/>
    <s v="Drill"/>
    <s v="Painting"/>
    <n v="14"/>
    <n v="5"/>
    <s v="Bright Supplies"/>
    <n v="1"/>
  </r>
  <r>
    <s v="Aluminum Sheets"/>
    <s v="2024-09-30"/>
    <n v="1350"/>
    <s v="Shift 2"/>
    <s v="Lathe"/>
    <s v="Assembly"/>
    <n v="40"/>
    <n v="8"/>
    <s v="QuickParts"/>
    <n v="0"/>
  </r>
  <r>
    <s v="Plastic Gears"/>
    <s v="2024-05-15"/>
    <n v="1890"/>
    <s v="Shift 1"/>
    <s v="Cutter"/>
    <s v="Assembly"/>
    <n v="18"/>
    <n v="8"/>
    <s v="Metro Steel"/>
    <n v="3"/>
  </r>
  <r>
    <s v="Steel Bolts"/>
    <s v="2024-04-24"/>
    <n v="643"/>
    <s v="Shift 2"/>
    <s v="Lathe"/>
    <s v="Cutting"/>
    <n v="25"/>
    <n v="1"/>
    <s v="Bright Supplies"/>
    <n v="1"/>
  </r>
  <r>
    <s v="Plastic Gears"/>
    <s v="2024-06-13"/>
    <n v="1384"/>
    <s v="Shift 1"/>
    <s v="Lathe"/>
    <s v="Cutting"/>
    <n v="28"/>
    <n v="9"/>
    <s v="Alpha Metals"/>
    <n v="3"/>
  </r>
  <r>
    <s v="Copper Pipes"/>
    <s v="2024-12-02"/>
    <n v="1592"/>
    <s v="Shift 2"/>
    <s v="Drill"/>
    <s v="Assembly"/>
    <n v="21"/>
    <n v="0"/>
    <s v="Bright Supplies"/>
    <n v="5"/>
  </r>
  <r>
    <s v="Copper Pipes"/>
    <s v="2024-04-23"/>
    <n v="1622"/>
    <s v="Shift 2"/>
    <s v="Drill"/>
    <s v="Cutting"/>
    <n v="39"/>
    <n v="1"/>
    <s v="Metro Steel"/>
    <n v="3"/>
  </r>
  <r>
    <s v="Plastic Gears"/>
    <s v="2024-08-14"/>
    <n v="895"/>
    <s v="Shift 1"/>
    <s v="Cutter"/>
    <s v="Painting"/>
    <n v="20"/>
    <n v="4"/>
    <s v="Bright Supplies"/>
    <n v="2"/>
  </r>
  <r>
    <s v="Plastic Gears"/>
    <s v="2024-05-17"/>
    <n v="1548"/>
    <s v="Shift 1"/>
    <s v="Drill"/>
    <s v="Painting"/>
    <n v="50"/>
    <n v="3"/>
    <s v="Bright Supplies"/>
    <n v="0"/>
  </r>
  <r>
    <s v="Plastic Gears"/>
    <s v="2024-01-02"/>
    <n v="1447"/>
    <s v="Shift 1"/>
    <s v="Drill"/>
    <s v="Assembly"/>
    <n v="37"/>
    <n v="3"/>
    <s v="Metro Steel"/>
    <n v="3"/>
  </r>
  <r>
    <s v="Copper Pipes"/>
    <s v="2024-08-29"/>
    <n v="1390"/>
    <s v="Shift 2"/>
    <s v="Cutter"/>
    <s v="Welding"/>
    <n v="19"/>
    <n v="8"/>
    <s v="QuickParts"/>
    <n v="5"/>
  </r>
  <r>
    <s v="Copper Pipes"/>
    <s v="2024-05-01"/>
    <n v="1992"/>
    <s v="Shift 2"/>
    <s v="Drill"/>
    <s v="Painting"/>
    <n v="28"/>
    <n v="10"/>
    <s v="QuickParts"/>
    <n v="4"/>
  </r>
  <r>
    <s v="Steel Bolts"/>
    <s v="2024-09-13"/>
    <n v="1674"/>
    <s v="Shift 3"/>
    <s v="Press"/>
    <s v="Cutting"/>
    <n v="50"/>
    <n v="7"/>
    <s v="Metro Steel"/>
    <n v="0"/>
  </r>
  <r>
    <s v="Steel Bolts"/>
    <s v="2024-09-25"/>
    <n v="1667"/>
    <s v="Shift 1"/>
    <s v="Lathe"/>
    <s v="Welding"/>
    <n v="3"/>
    <n v="5"/>
    <s v="Bright Supplies"/>
    <n v="1"/>
  </r>
  <r>
    <s v="Copper Pipes"/>
    <s v="2024-12-29"/>
    <n v="1068"/>
    <s v="Shift 2"/>
    <s v="Lathe"/>
    <s v="Welding"/>
    <n v="6"/>
    <n v="0"/>
    <s v="Metro Steel"/>
    <n v="2"/>
  </r>
  <r>
    <s v="Plastic Gears"/>
    <s v="2024-07-24"/>
    <n v="1562"/>
    <s v="Shift 2"/>
    <s v="Lathe"/>
    <s v="Painting"/>
    <n v="27"/>
    <n v="1"/>
    <s v="QuickParts"/>
    <n v="1"/>
  </r>
  <r>
    <s v="Plastic Gears"/>
    <s v="2024-07-08"/>
    <n v="608"/>
    <s v="Shift 1"/>
    <s v="Lathe"/>
    <s v="Painting"/>
    <n v="27"/>
    <n v="5"/>
    <s v="Alpha Metals"/>
    <n v="5"/>
  </r>
  <r>
    <s v="Steel Bolts"/>
    <s v="2024-12-21"/>
    <n v="1565"/>
    <s v="Shift 3"/>
    <s v="Cutter"/>
    <s v="Welding"/>
    <n v="3"/>
    <n v="10"/>
    <s v="Bright Supplies"/>
    <n v="5"/>
  </r>
  <r>
    <s v="Copper Pipes"/>
    <s v="2024-03-04"/>
    <n v="1709"/>
    <s v="Shift 1"/>
    <s v="Lathe"/>
    <s v="Welding"/>
    <n v="21"/>
    <n v="1"/>
    <s v="QuickParts"/>
    <n v="1"/>
  </r>
  <r>
    <s v="Steel Bolts"/>
    <s v="2024-08-28"/>
    <n v="1434"/>
    <s v="Shift 3"/>
    <s v="Lathe"/>
    <s v="Assembly"/>
    <n v="11"/>
    <n v="9"/>
    <s v="Bright Supplies"/>
    <n v="0"/>
  </r>
  <r>
    <s v="Steel Bolts"/>
    <s v="2024-12-12"/>
    <n v="897"/>
    <s v="Shift 2"/>
    <s v="Lathe"/>
    <s v="Cutting"/>
    <n v="44"/>
    <n v="4"/>
    <s v="Metro Steel"/>
    <n v="1"/>
  </r>
  <r>
    <s v="Aluminum Sheets"/>
    <s v="2024-10-15"/>
    <n v="1746"/>
    <s v="Shift 3"/>
    <s v="Lathe"/>
    <s v="Assembly"/>
    <n v="2"/>
    <n v="4"/>
    <s v="Alpha Metals"/>
    <n v="3"/>
  </r>
  <r>
    <s v="Aluminum Sheets"/>
    <s v="2024-04-16"/>
    <n v="1133"/>
    <s v="Shift 2"/>
    <s v="Press"/>
    <s v="Painting"/>
    <n v="21"/>
    <n v="5"/>
    <s v="Metro Steel"/>
    <n v="1"/>
  </r>
  <r>
    <s v="Aluminum Sheets"/>
    <s v="2024-02-20"/>
    <n v="1656"/>
    <s v="Shift 1"/>
    <s v="Lathe"/>
    <s v="Assembly"/>
    <n v="43"/>
    <n v="5"/>
    <s v="Alpha Metals"/>
    <n v="2"/>
  </r>
  <r>
    <s v="Plastic Gears"/>
    <s v="2024-03-29"/>
    <n v="1686"/>
    <s v="Shift 1"/>
    <s v="Press"/>
    <s v="Assembly"/>
    <n v="1"/>
    <n v="5"/>
    <s v="Bright Supplies"/>
    <n v="2"/>
  </r>
  <r>
    <s v="Copper Pipes"/>
    <s v="2024-03-26"/>
    <n v="1738"/>
    <s v="Shift 1"/>
    <s v="Cutter"/>
    <s v="Assembly"/>
    <n v="23"/>
    <n v="1"/>
    <s v="Bright Supplies"/>
    <n v="4"/>
  </r>
  <r>
    <s v="Copper Pipes"/>
    <s v="2024-01-02"/>
    <n v="1232"/>
    <s v="Shift 3"/>
    <s v="Drill"/>
    <s v="Assembly"/>
    <n v="33"/>
    <n v="9"/>
    <s v="Metro Steel"/>
    <n v="2"/>
  </r>
  <r>
    <s v="Copper Pipes"/>
    <s v="2024-09-14"/>
    <n v="734"/>
    <s v="Shift 2"/>
    <s v="Lathe"/>
    <s v="Cutting"/>
    <n v="26"/>
    <n v="2"/>
    <s v="Alpha Metals"/>
    <n v="1"/>
  </r>
  <r>
    <s v="Copper Pipes"/>
    <s v="2024-08-20"/>
    <n v="1157"/>
    <s v="Shift 1"/>
    <s v="Drill"/>
    <s v="Cutting"/>
    <n v="40"/>
    <n v="5"/>
    <s v="Alpha Metals"/>
    <n v="2"/>
  </r>
  <r>
    <s v="Aluminum Sheets"/>
    <s v="2024-08-24"/>
    <n v="1250"/>
    <s v="Shift 1"/>
    <s v="Drill"/>
    <s v="Welding"/>
    <n v="0"/>
    <n v="7"/>
    <s v="Bright Supplies"/>
    <n v="0"/>
  </r>
  <r>
    <s v="Plastic Gears"/>
    <s v="2024-05-07"/>
    <n v="1087"/>
    <s v="Shift 2"/>
    <s v="Cutter"/>
    <s v="Painting"/>
    <n v="7"/>
    <n v="10"/>
    <s v="Metro Steel"/>
    <n v="2"/>
  </r>
  <r>
    <s v="Plastic Gears"/>
    <s v="2024-02-01"/>
    <n v="1532"/>
    <s v="Shift 1"/>
    <s v="Drill"/>
    <s v="Assembly"/>
    <n v="22"/>
    <n v="0"/>
    <s v="Alpha Metals"/>
    <n v="3"/>
  </r>
  <r>
    <s v="Aluminum Sheets"/>
    <s v="2024-12-29"/>
    <n v="1597"/>
    <s v="Shift 2"/>
    <s v="Press"/>
    <s v="Welding"/>
    <n v="37"/>
    <n v="0"/>
    <s v="Bright Supplies"/>
    <n v="0"/>
  </r>
  <r>
    <s v="Plastic Gears"/>
    <s v="2024-09-08"/>
    <n v="1453"/>
    <s v="Shift 2"/>
    <s v="Drill"/>
    <s v="Welding"/>
    <n v="5"/>
    <n v="10"/>
    <s v="QuickParts"/>
    <n v="4"/>
  </r>
  <r>
    <s v="Aluminum Sheets"/>
    <s v="2024-08-16"/>
    <n v="991"/>
    <s v="Shift 2"/>
    <s v="Drill"/>
    <s v="Welding"/>
    <n v="21"/>
    <n v="1"/>
    <s v="Metro Steel"/>
    <n v="3"/>
  </r>
  <r>
    <s v="Copper Pipes"/>
    <s v="2024-10-22"/>
    <n v="1412"/>
    <s v="Shift 2"/>
    <s v="Drill"/>
    <s v="Cutting"/>
    <n v="24"/>
    <n v="10"/>
    <s v="QuickParts"/>
    <n v="1"/>
  </r>
  <r>
    <s v="Aluminum Sheets"/>
    <s v="2024-03-31"/>
    <n v="1776"/>
    <s v="Shift 2"/>
    <s v="Lathe"/>
    <s v="Assembly"/>
    <n v="17"/>
    <n v="5"/>
    <s v="Metro Steel"/>
    <n v="1"/>
  </r>
  <r>
    <s v="Copper Pipes"/>
    <s v="2024-12-04"/>
    <n v="1753"/>
    <s v="Shift 3"/>
    <s v="Lathe"/>
    <s v="Assembly"/>
    <n v="16"/>
    <n v="8"/>
    <s v="Bright Supplies"/>
    <n v="1"/>
  </r>
  <r>
    <s v="Copper Pipes"/>
    <s v="2024-03-17"/>
    <n v="1697"/>
    <s v="Shift 1"/>
    <s v="Press"/>
    <s v="Painting"/>
    <n v="11"/>
    <n v="3"/>
    <s v="Alpha Metals"/>
    <n v="3"/>
  </r>
  <r>
    <s v="Steel Bolts"/>
    <s v="2024-08-13"/>
    <n v="1691"/>
    <s v="Shift 3"/>
    <s v="Press"/>
    <s v="Assembly"/>
    <n v="5"/>
    <n v="2"/>
    <s v="Alpha Metals"/>
    <n v="3"/>
  </r>
  <r>
    <s v="Aluminum Sheets"/>
    <s v="2024-02-06"/>
    <n v="669"/>
    <s v="Shift 1"/>
    <s v="Lathe"/>
    <s v="Assembly"/>
    <n v="25"/>
    <n v="7"/>
    <s v="Alpha Metals"/>
    <n v="3"/>
  </r>
  <r>
    <s v="Steel Bolts"/>
    <s v="2024-05-12"/>
    <n v="1916"/>
    <s v="Shift 3"/>
    <s v="Press"/>
    <s v="Welding"/>
    <n v="26"/>
    <n v="10"/>
    <s v="Metro Steel"/>
    <n v="0"/>
  </r>
  <r>
    <s v="Aluminum Sheets"/>
    <s v="2024-01-24"/>
    <n v="1445"/>
    <s v="Shift 2"/>
    <s v="Lathe"/>
    <s v="Painting"/>
    <n v="7"/>
    <n v="9"/>
    <s v="Bright Supplies"/>
    <n v="5"/>
  </r>
  <r>
    <s v="Aluminum Sheets"/>
    <s v="2024-06-18"/>
    <n v="1294"/>
    <s v="Shift 1"/>
    <s v="Cutter"/>
    <s v="Assembly"/>
    <n v="18"/>
    <n v="8"/>
    <s v="QuickParts"/>
    <n v="0"/>
  </r>
  <r>
    <s v="Steel Bolts"/>
    <s v="2024-01-22"/>
    <n v="1133"/>
    <s v="Shift 1"/>
    <s v="Drill"/>
    <s v="Cutting"/>
    <n v="41"/>
    <n v="10"/>
    <s v="Bright Supplies"/>
    <n v="1"/>
  </r>
  <r>
    <s v="Steel Bolts"/>
    <s v="2024-11-17"/>
    <n v="1717"/>
    <s v="Shift 3"/>
    <s v="Drill"/>
    <s v="Assembly"/>
    <n v="0"/>
    <n v="4"/>
    <s v="QuickParts"/>
    <n v="5"/>
  </r>
  <r>
    <s v="Aluminum Sheets"/>
    <s v="2024-08-31"/>
    <n v="528"/>
    <s v="Shift 3"/>
    <s v="Press"/>
    <s v="Welding"/>
    <n v="28"/>
    <n v="8"/>
    <s v="Metro Steel"/>
    <n v="2"/>
  </r>
  <r>
    <s v="Plastic Gears"/>
    <s v="2024-12-22"/>
    <n v="1688"/>
    <s v="Shift 1"/>
    <s v="Lathe"/>
    <s v="Cutting"/>
    <n v="44"/>
    <n v="1"/>
    <s v="Metro Steel"/>
    <n v="1"/>
  </r>
  <r>
    <s v="Copper Pipes"/>
    <s v="2024-03-29"/>
    <n v="1945"/>
    <s v="Shift 3"/>
    <s v="Lathe"/>
    <s v="Welding"/>
    <n v="48"/>
    <n v="2"/>
    <s v="QuickParts"/>
    <n v="4"/>
  </r>
  <r>
    <s v="Steel Bolts"/>
    <s v="2024-02-11"/>
    <n v="838"/>
    <s v="Shift 3"/>
    <s v="Press"/>
    <s v="Assembly"/>
    <n v="34"/>
    <n v="6"/>
    <s v="QuickParts"/>
    <n v="0"/>
  </r>
  <r>
    <s v="Copper Pipes"/>
    <s v="2024-02-19"/>
    <n v="1888"/>
    <s v="Shift 3"/>
    <s v="Lathe"/>
    <s v="Cutting"/>
    <n v="39"/>
    <n v="6"/>
    <s v="QuickParts"/>
    <n v="3"/>
  </r>
  <r>
    <s v="Plastic Gears"/>
    <s v="2024-01-29"/>
    <n v="1865"/>
    <s v="Shift 2"/>
    <s v="Cutter"/>
    <s v="Painting"/>
    <n v="13"/>
    <n v="5"/>
    <s v="Bright Supplies"/>
    <n v="0"/>
  </r>
  <r>
    <s v="Plastic Gears"/>
    <s v="2024-03-09"/>
    <n v="999"/>
    <s v="Shift 2"/>
    <s v="Drill"/>
    <s v="Painting"/>
    <n v="34"/>
    <n v="5"/>
    <s v="QuickParts"/>
    <n v="3"/>
  </r>
  <r>
    <s v="Plastic Gears"/>
    <s v="2024-04-30"/>
    <n v="1010"/>
    <s v="Shift 3"/>
    <s v="Press"/>
    <s v="Cutting"/>
    <n v="47"/>
    <n v="1"/>
    <s v="Metro Steel"/>
    <n v="5"/>
  </r>
  <r>
    <s v="Steel Bolts"/>
    <s v="2024-11-25"/>
    <n v="1850"/>
    <s v="Shift 3"/>
    <s v="Press"/>
    <s v="Cutting"/>
    <n v="44"/>
    <n v="9"/>
    <s v="Metro Steel"/>
    <n v="4"/>
  </r>
  <r>
    <s v="Plastic Gears"/>
    <s v="2024-09-13"/>
    <n v="716"/>
    <s v="Shift 2"/>
    <s v="Lathe"/>
    <s v="Welding"/>
    <n v="19"/>
    <n v="5"/>
    <s v="Alpha Metals"/>
    <n v="5"/>
  </r>
  <r>
    <s v="Steel Bolts"/>
    <s v="2024-03-05"/>
    <n v="1824"/>
    <s v="Shift 2"/>
    <s v="Press"/>
    <s v="Cutting"/>
    <n v="48"/>
    <n v="3"/>
    <s v="QuickParts"/>
    <n v="4"/>
  </r>
  <r>
    <s v="Plastic Gears"/>
    <s v="2024-07-02"/>
    <n v="1655"/>
    <s v="Shift 1"/>
    <s v="Cutter"/>
    <s v="Welding"/>
    <n v="12"/>
    <n v="2"/>
    <s v="Bright Supplies"/>
    <n v="0"/>
  </r>
  <r>
    <s v="Copper Pipes"/>
    <s v="2024-06-20"/>
    <n v="1593"/>
    <s v="Shift 1"/>
    <s v="Lathe"/>
    <s v="Assembly"/>
    <n v="37"/>
    <n v="10"/>
    <s v="Bright Supplies"/>
    <n v="3"/>
  </r>
  <r>
    <s v="Copper Pipes"/>
    <s v="2024-03-20"/>
    <n v="1775"/>
    <s v="Shift 2"/>
    <s v="Lathe"/>
    <s v="Welding"/>
    <n v="48"/>
    <n v="1"/>
    <s v="Bright Supplies"/>
    <n v="5"/>
  </r>
  <r>
    <s v="Aluminum Sheets"/>
    <s v="2024-01-11"/>
    <n v="1938"/>
    <s v="Shift 3"/>
    <s v="Lathe"/>
    <s v="Cutting"/>
    <n v="45"/>
    <n v="0"/>
    <s v="Alpha Metals"/>
    <n v="4"/>
  </r>
  <r>
    <s v="Copper Pipes"/>
    <s v="2024-09-28"/>
    <n v="944"/>
    <s v="Shift 3"/>
    <s v="Lathe"/>
    <s v="Cutting"/>
    <n v="48"/>
    <n v="10"/>
    <s v="Metro Steel"/>
    <n v="1"/>
  </r>
  <r>
    <s v="Aluminum Sheets"/>
    <s v="2024-04-24"/>
    <n v="1375"/>
    <s v="Shift 3"/>
    <s v="Cutter"/>
    <s v="Assembly"/>
    <n v="7"/>
    <n v="10"/>
    <s v="Bright Supplies"/>
    <n v="1"/>
  </r>
  <r>
    <s v="Copper Pipes"/>
    <s v="2024-03-08"/>
    <n v="1705"/>
    <s v="Shift 3"/>
    <s v="Lathe"/>
    <s v="Cutting"/>
    <n v="42"/>
    <n v="4"/>
    <s v="Metro Steel"/>
    <n v="5"/>
  </r>
  <r>
    <s v="Steel Bolts"/>
    <s v="2024-01-13"/>
    <n v="666"/>
    <s v="Shift 1"/>
    <s v="Press"/>
    <s v="Cutting"/>
    <n v="19"/>
    <n v="1"/>
    <s v="Alpha Metals"/>
    <n v="3"/>
  </r>
  <r>
    <s v="Copper Pipes"/>
    <s v="2024-01-10"/>
    <n v="590"/>
    <s v="Shift 2"/>
    <s v="Cutter"/>
    <s v="Painting"/>
    <n v="32"/>
    <n v="1"/>
    <s v="QuickParts"/>
    <n v="5"/>
  </r>
  <r>
    <s v="Aluminum Sheets"/>
    <s v="2024-01-25"/>
    <n v="1213"/>
    <s v="Shift 3"/>
    <s v="Drill"/>
    <s v="Painting"/>
    <n v="25"/>
    <n v="6"/>
    <s v="QuickParts"/>
    <n v="0"/>
  </r>
  <r>
    <s v="Aluminum Sheets"/>
    <s v="2024-05-01"/>
    <n v="538"/>
    <s v="Shift 1"/>
    <s v="Drill"/>
    <s v="Assembly"/>
    <n v="38"/>
    <n v="7"/>
    <s v="QuickParts"/>
    <n v="4"/>
  </r>
  <r>
    <s v="Plastic Gears"/>
    <s v="2024-02-25"/>
    <n v="1649"/>
    <s v="Shift 3"/>
    <s v="Press"/>
    <s v="Welding"/>
    <n v="20"/>
    <n v="9"/>
    <s v="Bright Supplies"/>
    <n v="0"/>
  </r>
  <r>
    <s v="Steel Bolts"/>
    <s v="2024-04-10"/>
    <n v="1974"/>
    <s v="Shift 2"/>
    <s v="Press"/>
    <s v="Painting"/>
    <n v="48"/>
    <n v="7"/>
    <s v="QuickParts"/>
    <n v="1"/>
  </r>
  <r>
    <s v="Copper Pipes"/>
    <s v="2024-09-21"/>
    <n v="672"/>
    <s v="Shift 1"/>
    <s v="Cutter"/>
    <s v="Welding"/>
    <n v="41"/>
    <n v="3"/>
    <s v="Bright Supplies"/>
    <n v="4"/>
  </r>
  <r>
    <s v="Plastic Gears"/>
    <s v="2024-01-28"/>
    <n v="1152"/>
    <s v="Shift 2"/>
    <s v="Drill"/>
    <s v="Cutting"/>
    <n v="42"/>
    <n v="0"/>
    <s v="Alpha Metals"/>
    <n v="5"/>
  </r>
  <r>
    <s v="Copper Pipes"/>
    <s v="2024-04-15"/>
    <n v="1253"/>
    <s v="Shift 2"/>
    <s v="Drill"/>
    <s v="Painting"/>
    <n v="40"/>
    <n v="10"/>
    <s v="Alpha Metals"/>
    <n v="0"/>
  </r>
  <r>
    <s v="Copper Pipes"/>
    <s v="2024-10-13"/>
    <n v="1743"/>
    <s v="Shift 1"/>
    <s v="Drill"/>
    <s v="Assembly"/>
    <n v="8"/>
    <n v="6"/>
    <s v="Bright Supplies"/>
    <n v="2"/>
  </r>
  <r>
    <s v="Plastic Gears"/>
    <s v="2024-05-29"/>
    <n v="1581"/>
    <s v="Shift 1"/>
    <s v="Drill"/>
    <s v="Assembly"/>
    <n v="23"/>
    <n v="0"/>
    <s v="Metro Steel"/>
    <n v="3"/>
  </r>
  <r>
    <s v="Plastic Gears"/>
    <s v="2024-02-19"/>
    <n v="975"/>
    <s v="Shift 1"/>
    <s v="Drill"/>
    <s v="Assembly"/>
    <n v="36"/>
    <n v="10"/>
    <s v="QuickParts"/>
    <n v="3"/>
  </r>
  <r>
    <s v="Plastic Gears"/>
    <s v="2024-11-30"/>
    <n v="955"/>
    <s v="Shift 1"/>
    <s v="Lathe"/>
    <s v="Painting"/>
    <n v="48"/>
    <n v="3"/>
    <s v="QuickParts"/>
    <n v="2"/>
  </r>
  <r>
    <s v="Plastic Gears"/>
    <s v="2024-08-31"/>
    <n v="1328"/>
    <s v="Shift 1"/>
    <s v="Press"/>
    <s v="Welding"/>
    <n v="40"/>
    <n v="7"/>
    <s v="QuickParts"/>
    <n v="1"/>
  </r>
  <r>
    <s v="Plastic Gears"/>
    <s v="2024-05-08"/>
    <n v="1394"/>
    <s v="Shift 1"/>
    <s v="Lathe"/>
    <s v="Cutting"/>
    <n v="16"/>
    <n v="1"/>
    <s v="Bright Supplies"/>
    <n v="4"/>
  </r>
  <r>
    <s v="Copper Pipes"/>
    <s v="2024-04-28"/>
    <n v="1884"/>
    <s v="Shift 1"/>
    <s v="Drill"/>
    <s v="Welding"/>
    <n v="23"/>
    <n v="5"/>
    <s v="Alpha Metals"/>
    <n v="3"/>
  </r>
  <r>
    <s v="Plastic Gears"/>
    <s v="2024-09-19"/>
    <n v="1524"/>
    <s v="Shift 3"/>
    <s v="Cutter"/>
    <s v="Welding"/>
    <n v="20"/>
    <n v="5"/>
    <s v="QuickParts"/>
    <n v="2"/>
  </r>
  <r>
    <s v="Steel Bolts"/>
    <s v="2024-03-04"/>
    <n v="886"/>
    <s v="Shift 2"/>
    <s v="Cutter"/>
    <s v="Cutting"/>
    <n v="50"/>
    <n v="8"/>
    <s v="Alpha Metals"/>
    <n v="5"/>
  </r>
  <r>
    <s v="Aluminum Sheets"/>
    <s v="2024-11-04"/>
    <n v="847"/>
    <s v="Shift 1"/>
    <s v="Drill"/>
    <s v="Cutting"/>
    <n v="38"/>
    <n v="4"/>
    <s v="QuickParts"/>
    <n v="2"/>
  </r>
  <r>
    <s v="Plastic Gears"/>
    <s v="2024-01-09"/>
    <n v="689"/>
    <s v="Shift 3"/>
    <s v="Drill"/>
    <s v="Painting"/>
    <n v="40"/>
    <n v="9"/>
    <s v="QuickParts"/>
    <n v="1"/>
  </r>
  <r>
    <s v="Plastic Gears"/>
    <s v="2024-08-09"/>
    <n v="1004"/>
    <s v="Shift 3"/>
    <s v="Cutter"/>
    <s v="Painting"/>
    <n v="38"/>
    <n v="3"/>
    <s v="Bright Supplies"/>
    <n v="1"/>
  </r>
  <r>
    <s v="Copper Pipes"/>
    <s v="2024-07-31"/>
    <n v="1714"/>
    <s v="Shift 3"/>
    <s v="Lathe"/>
    <s v="Painting"/>
    <n v="12"/>
    <n v="4"/>
    <s v="Metro Steel"/>
    <n v="0"/>
  </r>
  <r>
    <s v="Plastic Gears"/>
    <s v="2024-01-18"/>
    <n v="1892"/>
    <s v="Shift 2"/>
    <s v="Lathe"/>
    <s v="Painting"/>
    <n v="10"/>
    <n v="9"/>
    <s v="Bright Supplies"/>
    <n v="3"/>
  </r>
  <r>
    <s v="Plastic Gears"/>
    <s v="2024-01-31"/>
    <n v="1932"/>
    <s v="Shift 1"/>
    <s v="Drill"/>
    <s v="Painting"/>
    <n v="45"/>
    <n v="10"/>
    <s v="QuickParts"/>
    <n v="0"/>
  </r>
  <r>
    <s v="Plastic Gears"/>
    <s v="2024-09-03"/>
    <n v="1323"/>
    <s v="Shift 3"/>
    <s v="Lathe"/>
    <s v="Cutting"/>
    <n v="18"/>
    <n v="4"/>
    <s v="QuickParts"/>
    <n v="2"/>
  </r>
  <r>
    <s v="Copper Pipes"/>
    <s v="2024-09-18"/>
    <n v="1428"/>
    <s v="Shift 2"/>
    <s v="Cutter"/>
    <s v="Welding"/>
    <n v="10"/>
    <n v="7"/>
    <s v="Metro Steel"/>
    <n v="4"/>
  </r>
  <r>
    <s v="Plastic Gears"/>
    <s v="2024-02-01"/>
    <n v="1433"/>
    <s v="Shift 2"/>
    <s v="Lathe"/>
    <s v="Painting"/>
    <n v="12"/>
    <n v="9"/>
    <s v="Alpha Metals"/>
    <n v="4"/>
  </r>
  <r>
    <s v="Aluminum Sheets"/>
    <s v="2024-06-24"/>
    <n v="1640"/>
    <s v="Shift 2"/>
    <s v="Drill"/>
    <s v="Painting"/>
    <n v="45"/>
    <n v="7"/>
    <s v="Alpha Metals"/>
    <n v="1"/>
  </r>
  <r>
    <s v="Copper Pipes"/>
    <s v="2024-11-02"/>
    <n v="633"/>
    <s v="Shift 3"/>
    <s v="Cutter"/>
    <s v="Welding"/>
    <n v="44"/>
    <n v="1"/>
    <s v="QuickParts"/>
    <n v="4"/>
  </r>
  <r>
    <s v="Aluminum Sheets"/>
    <s v="2024-01-31"/>
    <n v="557"/>
    <s v="Shift 1"/>
    <s v="Lathe"/>
    <s v="Painting"/>
    <n v="0"/>
    <n v="6"/>
    <s v="Alpha Metals"/>
    <n v="4"/>
  </r>
  <r>
    <s v="Copper Pipes"/>
    <s v="2024-04-09"/>
    <n v="1184"/>
    <s v="Shift 3"/>
    <s v="Press"/>
    <s v="Welding"/>
    <n v="39"/>
    <n v="7"/>
    <s v="QuickParts"/>
    <n v="4"/>
  </r>
  <r>
    <s v="Plastic Gears"/>
    <s v="2024-09-30"/>
    <n v="1171"/>
    <s v="Shift 3"/>
    <s v="Cutter"/>
    <s v="Welding"/>
    <n v="43"/>
    <n v="10"/>
    <s v="Metro Steel"/>
    <n v="2"/>
  </r>
  <r>
    <s v="Aluminum Sheets"/>
    <s v="2024-10-17"/>
    <n v="672"/>
    <s v="Shift 1"/>
    <s v="Cutter"/>
    <s v="Cutting"/>
    <n v="18"/>
    <n v="5"/>
    <s v="Metro Steel"/>
    <n v="4"/>
  </r>
  <r>
    <s v="Copper Pipes"/>
    <s v="2024-11-17"/>
    <n v="1314"/>
    <s v="Shift 1"/>
    <s v="Press"/>
    <s v="Assembly"/>
    <n v="11"/>
    <n v="4"/>
    <s v="QuickParts"/>
    <n v="5"/>
  </r>
  <r>
    <s v="Steel Bolts"/>
    <s v="2024-03-14"/>
    <n v="1672"/>
    <s v="Shift 1"/>
    <s v="Press"/>
    <s v="Cutting"/>
    <n v="7"/>
    <n v="10"/>
    <s v="Metro Steel"/>
    <n v="4"/>
  </r>
  <r>
    <s v="Plastic Gears"/>
    <s v="2024-09-21"/>
    <n v="579"/>
    <s v="Shift 2"/>
    <s v="Cutter"/>
    <s v="Assembly"/>
    <n v="7"/>
    <n v="8"/>
    <s v="Bright Supplies"/>
    <n v="4"/>
  </r>
  <r>
    <s v="Copper Pipes"/>
    <s v="2024-02-07"/>
    <n v="1385"/>
    <s v="Shift 1"/>
    <s v="Press"/>
    <s v="Assembly"/>
    <n v="44"/>
    <n v="2"/>
    <s v="Bright Supplies"/>
    <n v="0"/>
  </r>
  <r>
    <s v="Steel Bolts"/>
    <s v="2024-07-03"/>
    <n v="1736"/>
    <s v="Shift 3"/>
    <s v="Drill"/>
    <s v="Assembly"/>
    <n v="11"/>
    <n v="9"/>
    <s v="Metro Steel"/>
    <n v="2"/>
  </r>
  <r>
    <s v="Copper Pipes"/>
    <s v="2024-03-23"/>
    <n v="702"/>
    <s v="Shift 1"/>
    <s v="Drill"/>
    <s v="Painting"/>
    <n v="47"/>
    <n v="3"/>
    <s v="QuickParts"/>
    <n v="1"/>
  </r>
  <r>
    <s v="Steel Bolts"/>
    <s v="2024-05-15"/>
    <n v="1263"/>
    <s v="Shift 3"/>
    <s v="Drill"/>
    <s v="Cutting"/>
    <n v="32"/>
    <n v="8"/>
    <s v="QuickParts"/>
    <n v="0"/>
  </r>
  <r>
    <s v="Plastic Gears"/>
    <s v="2024-12-23"/>
    <n v="1752"/>
    <s v="Shift 2"/>
    <s v="Cutter"/>
    <s v="Assembly"/>
    <n v="44"/>
    <n v="5"/>
    <s v="Metro Steel"/>
    <n v="3"/>
  </r>
  <r>
    <s v="Aluminum Sheets"/>
    <s v="2024-10-26"/>
    <n v="1750"/>
    <s v="Shift 3"/>
    <s v="Press"/>
    <s v="Welding"/>
    <n v="25"/>
    <n v="7"/>
    <s v="Alpha Metals"/>
    <n v="2"/>
  </r>
  <r>
    <s v="Steel Bolts"/>
    <s v="2024-01-03"/>
    <n v="1964"/>
    <s v="Shift 3"/>
    <s v="Press"/>
    <s v="Painting"/>
    <n v="38"/>
    <n v="6"/>
    <s v="Bright Supplies"/>
    <n v="5"/>
  </r>
  <r>
    <s v="Copper Pipes"/>
    <s v="2024-10-10"/>
    <n v="1925"/>
    <s v="Shift 1"/>
    <s v="Lathe"/>
    <s v="Cutting"/>
    <n v="27"/>
    <n v="10"/>
    <s v="Alpha Metals"/>
    <n v="2"/>
  </r>
  <r>
    <s v="Plastic Gears"/>
    <s v="2024-05-04"/>
    <n v="546"/>
    <s v="Shift 1"/>
    <s v="Lathe"/>
    <s v="Assembly"/>
    <n v="4"/>
    <n v="1"/>
    <s v="QuickParts"/>
    <n v="3"/>
  </r>
  <r>
    <s v="Steel Bolts"/>
    <s v="2024-07-06"/>
    <n v="1756"/>
    <s v="Shift 3"/>
    <s v="Press"/>
    <s v="Welding"/>
    <n v="7"/>
    <n v="2"/>
    <s v="QuickParts"/>
    <n v="3"/>
  </r>
  <r>
    <s v="Copper Pipes"/>
    <s v="2024-05-13"/>
    <n v="1828"/>
    <s v="Shift 1"/>
    <s v="Press"/>
    <s v="Cutting"/>
    <n v="24"/>
    <n v="0"/>
    <s v="Alpha Metals"/>
    <n v="3"/>
  </r>
  <r>
    <s v="Copper Pipes"/>
    <s v="2024-09-01"/>
    <n v="1666"/>
    <s v="Shift 2"/>
    <s v="Press"/>
    <s v="Cutting"/>
    <n v="26"/>
    <n v="8"/>
    <s v="Metro Steel"/>
    <n v="1"/>
  </r>
  <r>
    <s v="Copper Pipes"/>
    <s v="2024-10-17"/>
    <n v="1938"/>
    <s v="Shift 2"/>
    <s v="Cutter"/>
    <s v="Painting"/>
    <n v="45"/>
    <n v="6"/>
    <s v="Alpha Metals"/>
    <n v="4"/>
  </r>
  <r>
    <s v="Steel Bolts"/>
    <s v="2024-10-28"/>
    <n v="1896"/>
    <s v="Shift 1"/>
    <s v="Press"/>
    <s v="Cutting"/>
    <n v="22"/>
    <n v="0"/>
    <s v="Alpha Metals"/>
    <n v="2"/>
  </r>
  <r>
    <s v="Steel Bolts"/>
    <s v="2024-09-06"/>
    <n v="1782"/>
    <s v="Shift 2"/>
    <s v="Lathe"/>
    <s v="Painting"/>
    <n v="29"/>
    <n v="2"/>
    <s v="Bright Supplies"/>
    <n v="4"/>
  </r>
  <r>
    <s v="Steel Bolts"/>
    <s v="2024-11-20"/>
    <n v="1155"/>
    <s v="Shift 1"/>
    <s v="Cutter"/>
    <s v="Assembly"/>
    <n v="44"/>
    <n v="3"/>
    <s v="Bright Supplies"/>
    <n v="4"/>
  </r>
  <r>
    <s v="Aluminum Sheets"/>
    <s v="2024-11-27"/>
    <n v="970"/>
    <s v="Shift 3"/>
    <s v="Press"/>
    <s v="Painting"/>
    <n v="46"/>
    <n v="3"/>
    <s v="Alpha Metals"/>
    <n v="5"/>
  </r>
  <r>
    <s v="Steel Bolts"/>
    <s v="2024-08-28"/>
    <n v="1470"/>
    <s v="Shift 3"/>
    <s v="Lathe"/>
    <s v="Welding"/>
    <n v="22"/>
    <n v="4"/>
    <s v="Alpha Metals"/>
    <n v="3"/>
  </r>
  <r>
    <s v="Steel Bolts"/>
    <s v="2024-01-09"/>
    <n v="1535"/>
    <s v="Shift 2"/>
    <s v="Cutter"/>
    <s v="Painting"/>
    <n v="48"/>
    <n v="2"/>
    <s v="QuickParts"/>
    <n v="1"/>
  </r>
  <r>
    <s v="Steel Bolts"/>
    <s v="2024-11-28"/>
    <n v="1853"/>
    <s v="Shift 1"/>
    <s v="Press"/>
    <s v="Welding"/>
    <n v="46"/>
    <n v="2"/>
    <s v="Bright Supplies"/>
    <n v="5"/>
  </r>
  <r>
    <s v="Aluminum Sheets"/>
    <s v="2024-01-13"/>
    <n v="1235"/>
    <s v="Shift 1"/>
    <s v="Press"/>
    <s v="Painting"/>
    <n v="19"/>
    <n v="0"/>
    <s v="Bright Supplies"/>
    <n v="0"/>
  </r>
  <r>
    <s v="Steel Bolts"/>
    <s v="2024-06-15"/>
    <n v="1283"/>
    <s v="Shift 2"/>
    <s v="Press"/>
    <s v="Cutting"/>
    <n v="17"/>
    <n v="6"/>
    <s v="QuickParts"/>
    <n v="1"/>
  </r>
  <r>
    <s v="Copper Pipes"/>
    <s v="2024-09-01"/>
    <n v="1467"/>
    <s v="Shift 3"/>
    <s v="Cutter"/>
    <s v="Assembly"/>
    <n v="17"/>
    <n v="10"/>
    <s v="Metro Steel"/>
    <n v="4"/>
  </r>
  <r>
    <s v="Steel Bolts"/>
    <s v="2024-03-28"/>
    <n v="857"/>
    <s v="Shift 2"/>
    <s v="Lathe"/>
    <s v="Welding"/>
    <n v="1"/>
    <n v="9"/>
    <s v="Bright Supplies"/>
    <n v="1"/>
  </r>
  <r>
    <s v="Copper Pipes"/>
    <s v="2024-03-21"/>
    <n v="1471"/>
    <s v="Shift 3"/>
    <s v="Lathe"/>
    <s v="Painting"/>
    <n v="3"/>
    <n v="0"/>
    <s v="Bright Supplies"/>
    <n v="3"/>
  </r>
  <r>
    <s v="Copper Pipes"/>
    <s v="2024-02-09"/>
    <n v="1931"/>
    <s v="Shift 1"/>
    <s v="Drill"/>
    <s v="Painting"/>
    <n v="29"/>
    <n v="1"/>
    <s v="Metro Steel"/>
    <n v="0"/>
  </r>
  <r>
    <s v="Copper Pipes"/>
    <s v="2024-04-04"/>
    <n v="1167"/>
    <s v="Shift 3"/>
    <s v="Press"/>
    <s v="Painting"/>
    <n v="32"/>
    <n v="3"/>
    <s v="Bright Supplies"/>
    <n v="3"/>
  </r>
  <r>
    <s v="Aluminum Sheets"/>
    <s v="2024-06-27"/>
    <n v="872"/>
    <s v="Shift 2"/>
    <s v="Drill"/>
    <s v="Cutting"/>
    <n v="35"/>
    <n v="3"/>
    <s v="Bright Supplies"/>
    <n v="0"/>
  </r>
  <r>
    <s v="Aluminum Sheets"/>
    <s v="2024-11-18"/>
    <n v="1531"/>
    <s v="Shift 1"/>
    <s v="Drill"/>
    <s v="Cutting"/>
    <n v="17"/>
    <n v="4"/>
    <s v="Metro Steel"/>
    <n v="5"/>
  </r>
  <r>
    <s v="Aluminum Sheets"/>
    <s v="2024-04-19"/>
    <n v="1645"/>
    <s v="Shift 2"/>
    <s v="Lathe"/>
    <s v="Welding"/>
    <n v="36"/>
    <n v="10"/>
    <s v="Metro Steel"/>
    <n v="4"/>
  </r>
  <r>
    <s v="Steel Bolts"/>
    <s v="2024-12-07"/>
    <n v="1871"/>
    <s v="Shift 2"/>
    <s v="Cutter"/>
    <s v="Welding"/>
    <n v="18"/>
    <n v="1"/>
    <s v="Alpha Metals"/>
    <n v="0"/>
  </r>
  <r>
    <s v="Copper Pipes"/>
    <s v="2024-02-12"/>
    <n v="1175"/>
    <s v="Shift 3"/>
    <s v="Cutter"/>
    <s v="Cutting"/>
    <n v="46"/>
    <n v="3"/>
    <s v="QuickParts"/>
    <n v="0"/>
  </r>
  <r>
    <s v="Aluminum Sheets"/>
    <s v="2024-03-12"/>
    <n v="589"/>
    <s v="Shift 2"/>
    <s v="Lathe"/>
    <s v="Welding"/>
    <n v="27"/>
    <n v="0"/>
    <s v="QuickParts"/>
    <n v="0"/>
  </r>
  <r>
    <s v="Aluminum Sheets"/>
    <s v="2024-01-05"/>
    <n v="1197"/>
    <s v="Shift 3"/>
    <s v="Cutter"/>
    <s v="Assembly"/>
    <n v="39"/>
    <n v="1"/>
    <s v="Metro Steel"/>
    <n v="1"/>
  </r>
  <r>
    <s v="Steel Bolts"/>
    <s v="2024-08-25"/>
    <n v="1839"/>
    <s v="Shift 1"/>
    <s v="Drill"/>
    <s v="Assembly"/>
    <n v="19"/>
    <n v="0"/>
    <s v="Metro Steel"/>
    <n v="5"/>
  </r>
  <r>
    <s v="Aluminum Sheets"/>
    <s v="2024-02-25"/>
    <n v="1701"/>
    <s v="Shift 3"/>
    <s v="Press"/>
    <s v="Cutting"/>
    <n v="48"/>
    <n v="9"/>
    <s v="Bright Supplies"/>
    <n v="1"/>
  </r>
  <r>
    <s v="Steel Bolts"/>
    <s v="2024-04-04"/>
    <n v="1039"/>
    <s v="Shift 1"/>
    <s v="Lathe"/>
    <s v="Welding"/>
    <n v="32"/>
    <n v="9"/>
    <s v="Alpha Metals"/>
    <n v="4"/>
  </r>
  <r>
    <s v="Plastic Gears"/>
    <s v="2024-01-20"/>
    <n v="1231"/>
    <s v="Shift 3"/>
    <s v="Press"/>
    <s v="Painting"/>
    <n v="11"/>
    <n v="3"/>
    <s v="Alpha Metals"/>
    <n v="0"/>
  </r>
  <r>
    <s v="Aluminum Sheets"/>
    <s v="2024-10-27"/>
    <n v="1368"/>
    <s v="Shift 2"/>
    <s v="Cutter"/>
    <s v="Assembly"/>
    <n v="50"/>
    <n v="3"/>
    <s v="Metro Steel"/>
    <n v="5"/>
  </r>
  <r>
    <s v="Plastic Gears"/>
    <s v="2024-11-11"/>
    <n v="540"/>
    <s v="Shift 3"/>
    <s v="Press"/>
    <s v="Cutting"/>
    <n v="14"/>
    <n v="6"/>
    <s v="Bright Supplies"/>
    <n v="5"/>
  </r>
  <r>
    <s v="Steel Bolts"/>
    <s v="2024-10-04"/>
    <n v="1239"/>
    <s v="Shift 3"/>
    <s v="Cutter"/>
    <s v="Welding"/>
    <n v="40"/>
    <n v="9"/>
    <s v="Bright Supplies"/>
    <n v="2"/>
  </r>
  <r>
    <s v="Copper Pipes"/>
    <s v="2024-06-11"/>
    <n v="1001"/>
    <s v="Shift 1"/>
    <s v="Cutter"/>
    <s v="Cutting"/>
    <n v="38"/>
    <n v="10"/>
    <s v="QuickParts"/>
    <n v="4"/>
  </r>
  <r>
    <s v="Aluminum Sheets"/>
    <s v="2024-07-19"/>
    <n v="1458"/>
    <s v="Shift 2"/>
    <s v="Drill"/>
    <s v="Painting"/>
    <n v="1"/>
    <n v="10"/>
    <s v="QuickParts"/>
    <n v="5"/>
  </r>
  <r>
    <s v="Steel Bolts"/>
    <s v="2024-07-22"/>
    <n v="1668"/>
    <s v="Shift 3"/>
    <s v="Cutter"/>
    <s v="Assembly"/>
    <n v="28"/>
    <n v="8"/>
    <s v="Bright Supplies"/>
    <n v="0"/>
  </r>
  <r>
    <s v="Copper Pipes"/>
    <s v="2024-04-15"/>
    <n v="1724"/>
    <s v="Shift 2"/>
    <s v="Drill"/>
    <s v="Cutting"/>
    <n v="40"/>
    <n v="8"/>
    <s v="QuickParts"/>
    <n v="0"/>
  </r>
  <r>
    <s v="Copper Pipes"/>
    <s v="2024-07-25"/>
    <n v="1428"/>
    <s v="Shift 3"/>
    <s v="Drill"/>
    <s v="Cutting"/>
    <n v="9"/>
    <n v="4"/>
    <s v="Metro Steel"/>
    <n v="5"/>
  </r>
  <r>
    <s v="Plastic Gears"/>
    <s v="2024-10-12"/>
    <n v="960"/>
    <s v="Shift 3"/>
    <s v="Drill"/>
    <s v="Cutting"/>
    <n v="1"/>
    <n v="9"/>
    <s v="Bright Supplies"/>
    <n v="1"/>
  </r>
  <r>
    <s v="Steel Bolts"/>
    <s v="2024-03-14"/>
    <n v="1231"/>
    <s v="Shift 2"/>
    <s v="Lathe"/>
    <s v="Painting"/>
    <n v="50"/>
    <n v="0"/>
    <s v="QuickParts"/>
    <n v="4"/>
  </r>
  <r>
    <s v="Copper Pipes"/>
    <s v="2024-08-26"/>
    <n v="1251"/>
    <s v="Shift 3"/>
    <s v="Lathe"/>
    <s v="Cutting"/>
    <n v="10"/>
    <n v="0"/>
    <s v="Alpha Metals"/>
    <n v="0"/>
  </r>
  <r>
    <s v="Aluminum Sheets"/>
    <s v="2024-08-13"/>
    <n v="1424"/>
    <s v="Shift 2"/>
    <s v="Cutter"/>
    <s v="Painting"/>
    <n v="12"/>
    <n v="5"/>
    <s v="Bright Supplies"/>
    <n v="5"/>
  </r>
  <r>
    <s v="Aluminum Sheets"/>
    <s v="2024-06-18"/>
    <n v="1408"/>
    <s v="Shift 3"/>
    <s v="Drill"/>
    <s v="Painting"/>
    <n v="9"/>
    <n v="1"/>
    <s v="Bright Supplies"/>
    <n v="0"/>
  </r>
  <r>
    <s v="Plastic Gears"/>
    <s v="2024-07-12"/>
    <n v="1776"/>
    <s v="Shift 1"/>
    <s v="Lathe"/>
    <s v="Painting"/>
    <n v="13"/>
    <n v="7"/>
    <s v="Alpha Metals"/>
    <n v="5"/>
  </r>
  <r>
    <s v="Copper Pipes"/>
    <s v="2024-11-13"/>
    <n v="889"/>
    <s v="Shift 2"/>
    <s v="Drill"/>
    <s v="Assembly"/>
    <n v="17"/>
    <n v="8"/>
    <s v="Metro Steel"/>
    <n v="4"/>
  </r>
  <r>
    <s v="Steel Bolts"/>
    <s v="2024-05-10"/>
    <n v="1382"/>
    <s v="Shift 3"/>
    <s v="Press"/>
    <s v="Assembly"/>
    <n v="50"/>
    <n v="3"/>
    <s v="Alpha Metals"/>
    <n v="5"/>
  </r>
  <r>
    <s v="Aluminum Sheets"/>
    <s v="2024-03-16"/>
    <n v="755"/>
    <s v="Shift 3"/>
    <s v="Press"/>
    <s v="Cutting"/>
    <n v="8"/>
    <n v="4"/>
    <s v="Bright Supplies"/>
    <n v="2"/>
  </r>
  <r>
    <s v="Copper Pipes"/>
    <s v="2024-05-23"/>
    <n v="1208"/>
    <s v="Shift 1"/>
    <s v="Press"/>
    <s v="Cutting"/>
    <n v="38"/>
    <n v="10"/>
    <s v="Metro Steel"/>
    <n v="5"/>
  </r>
  <r>
    <s v="Copper Pipes"/>
    <s v="2024-08-11"/>
    <n v="949"/>
    <s v="Shift 2"/>
    <s v="Cutter"/>
    <s v="Assembly"/>
    <n v="27"/>
    <n v="7"/>
    <s v="QuickParts"/>
    <n v="5"/>
  </r>
  <r>
    <s v="Plastic Gears"/>
    <s v="2024-07-09"/>
    <n v="509"/>
    <s v="Shift 3"/>
    <s v="Drill"/>
    <s v="Welding"/>
    <n v="2"/>
    <n v="2"/>
    <s v="QuickParts"/>
    <n v="4"/>
  </r>
  <r>
    <s v="Aluminum Sheets"/>
    <s v="2024-03-13"/>
    <n v="1323"/>
    <s v="Shift 1"/>
    <s v="Press"/>
    <s v="Assembly"/>
    <n v="19"/>
    <n v="4"/>
    <s v="QuickParts"/>
    <n v="5"/>
  </r>
  <r>
    <s v="Aluminum Sheets"/>
    <s v="2024-10-20"/>
    <n v="1297"/>
    <s v="Shift 3"/>
    <s v="Lathe"/>
    <s v="Painting"/>
    <n v="5"/>
    <n v="2"/>
    <s v="Bright Supplies"/>
    <n v="4"/>
  </r>
  <r>
    <s v="Steel Bolts"/>
    <s v="2024-12-21"/>
    <n v="1765"/>
    <s v="Shift 2"/>
    <s v="Press"/>
    <s v="Assembly"/>
    <n v="26"/>
    <n v="9"/>
    <s v="Alpha Metals"/>
    <n v="2"/>
  </r>
  <r>
    <s v="Aluminum Sheets"/>
    <s v="2024-04-19"/>
    <n v="1774"/>
    <s v="Shift 3"/>
    <s v="Press"/>
    <s v="Painting"/>
    <n v="1"/>
    <n v="2"/>
    <s v="Metro Steel"/>
    <n v="4"/>
  </r>
  <r>
    <s v="Steel Bolts"/>
    <s v="2024-09-02"/>
    <n v="1376"/>
    <s v="Shift 3"/>
    <s v="Press"/>
    <s v="Cutting"/>
    <n v="28"/>
    <n v="2"/>
    <s v="QuickParts"/>
    <n v="0"/>
  </r>
  <r>
    <s v="Aluminum Sheets"/>
    <s v="2024-03-03"/>
    <n v="1528"/>
    <s v="Shift 3"/>
    <s v="Cutter"/>
    <s v="Welding"/>
    <n v="37"/>
    <n v="6"/>
    <s v="Metro Steel"/>
    <n v="4"/>
  </r>
  <r>
    <s v="Plastic Gears"/>
    <s v="2024-02-02"/>
    <n v="1642"/>
    <s v="Shift 3"/>
    <s v="Lathe"/>
    <s v="Cutting"/>
    <n v="2"/>
    <n v="6"/>
    <s v="Bright Supplies"/>
    <n v="2"/>
  </r>
  <r>
    <s v="Aluminum Sheets"/>
    <s v="2024-07-15"/>
    <n v="1515"/>
    <s v="Shift 1"/>
    <s v="Drill"/>
    <s v="Painting"/>
    <n v="15"/>
    <n v="6"/>
    <s v="QuickParts"/>
    <n v="3"/>
  </r>
  <r>
    <s v="Steel Bolts"/>
    <s v="2024-06-05"/>
    <n v="873"/>
    <s v="Shift 1"/>
    <s v="Lathe"/>
    <s v="Painting"/>
    <n v="29"/>
    <n v="9"/>
    <s v="Bright Supplies"/>
    <n v="5"/>
  </r>
  <r>
    <s v="Steel Bolts"/>
    <s v="2024-02-10"/>
    <n v="1588"/>
    <s v="Shift 2"/>
    <s v="Drill"/>
    <s v="Painting"/>
    <n v="39"/>
    <n v="7"/>
    <s v="Alpha Metals"/>
    <n v="4"/>
  </r>
  <r>
    <s v="Plastic Gears"/>
    <s v="2024-09-21"/>
    <n v="645"/>
    <s v="Shift 1"/>
    <s v="Cutter"/>
    <s v="Welding"/>
    <n v="1"/>
    <n v="4"/>
    <s v="Bright Supplies"/>
    <n v="5"/>
  </r>
  <r>
    <s v="Aluminum Sheets"/>
    <s v="2024-12-09"/>
    <n v="723"/>
    <s v="Shift 1"/>
    <s v="Cutter"/>
    <s v="Assembly"/>
    <n v="16"/>
    <n v="4"/>
    <s v="Bright Supplies"/>
    <n v="1"/>
  </r>
  <r>
    <s v="Aluminum Sheets"/>
    <s v="2024-11-10"/>
    <n v="1762"/>
    <s v="Shift 2"/>
    <s v="Cutter"/>
    <s v="Cutting"/>
    <n v="40"/>
    <n v="3"/>
    <s v="Alpha Metals"/>
    <n v="0"/>
  </r>
  <r>
    <s v="Plastic Gears"/>
    <s v="2024-02-26"/>
    <n v="676"/>
    <s v="Shift 1"/>
    <s v="Cutter"/>
    <s v="Cutting"/>
    <n v="11"/>
    <n v="6"/>
    <s v="Metro Steel"/>
    <n v="0"/>
  </r>
  <r>
    <s v="Aluminum Sheets"/>
    <s v="2024-12-14"/>
    <n v="1352"/>
    <s v="Shift 1"/>
    <s v="Drill"/>
    <s v="Assembly"/>
    <n v="34"/>
    <n v="9"/>
    <s v="Alpha Metals"/>
    <n v="1"/>
  </r>
  <r>
    <s v="Aluminum Sheets"/>
    <s v="2024-06-02"/>
    <n v="1805"/>
    <s v="Shift 2"/>
    <s v="Press"/>
    <s v="Cutting"/>
    <n v="42"/>
    <n v="3"/>
    <s v="Alpha Metals"/>
    <n v="1"/>
  </r>
  <r>
    <s v="Steel Bolts"/>
    <s v="2024-01-17"/>
    <n v="562"/>
    <s v="Shift 2"/>
    <s v="Drill"/>
    <s v="Welding"/>
    <n v="0"/>
    <n v="1"/>
    <s v="Bright Supplies"/>
    <n v="4"/>
  </r>
  <r>
    <s v="Aluminum Sheets"/>
    <s v="2024-02-14"/>
    <n v="1740"/>
    <s v="Shift 2"/>
    <s v="Lathe"/>
    <s v="Cutting"/>
    <n v="44"/>
    <n v="3"/>
    <s v="Metro Steel"/>
    <n v="1"/>
  </r>
  <r>
    <s v="Aluminum Sheets"/>
    <s v="2024-07-13"/>
    <n v="1326"/>
    <s v="Shift 3"/>
    <s v="Cutter"/>
    <s v="Painting"/>
    <n v="14"/>
    <n v="7"/>
    <s v="QuickParts"/>
    <n v="3"/>
  </r>
  <r>
    <s v="Plastic Gears"/>
    <s v="2024-12-05"/>
    <n v="1294"/>
    <s v="Shift 3"/>
    <s v="Cutter"/>
    <s v="Assembly"/>
    <n v="25"/>
    <n v="8"/>
    <s v="Alpha Metals"/>
    <n v="5"/>
  </r>
  <r>
    <s v="Plastic Gears"/>
    <s v="2024-12-11"/>
    <n v="1188"/>
    <s v="Shift 2"/>
    <s v="Lathe"/>
    <s v="Welding"/>
    <n v="36"/>
    <n v="2"/>
    <s v="Metro Steel"/>
    <n v="5"/>
  </r>
  <r>
    <s v="Copper Pipes"/>
    <s v="2024-03-11"/>
    <n v="1984"/>
    <s v="Shift 2"/>
    <s v="Drill"/>
    <s v="Assembly"/>
    <n v="20"/>
    <n v="6"/>
    <s v="Alpha Metals"/>
    <n v="2"/>
  </r>
  <r>
    <s v="Steel Bolts"/>
    <s v="2024-06-08"/>
    <n v="604"/>
    <s v="Shift 2"/>
    <s v="Press"/>
    <s v="Welding"/>
    <n v="48"/>
    <n v="8"/>
    <s v="Alpha Metals"/>
    <n v="1"/>
  </r>
  <r>
    <s v="Aluminum Sheets"/>
    <s v="2024-04-06"/>
    <n v="1622"/>
    <s v="Shift 3"/>
    <s v="Press"/>
    <s v="Painting"/>
    <n v="30"/>
    <n v="10"/>
    <s v="Alpha Metals"/>
    <n v="1"/>
  </r>
  <r>
    <s v="Aluminum Sheets"/>
    <s v="2024-01-19"/>
    <n v="1010"/>
    <s v="Shift 3"/>
    <s v="Lathe"/>
    <s v="Assembly"/>
    <n v="24"/>
    <n v="3"/>
    <s v="Alpha Metals"/>
    <n v="3"/>
  </r>
  <r>
    <s v="Copper Pipes"/>
    <s v="2024-08-12"/>
    <n v="884"/>
    <s v="Shift 1"/>
    <s v="Press"/>
    <s v="Cutting"/>
    <n v="22"/>
    <n v="9"/>
    <s v="Bright Supplies"/>
    <n v="0"/>
  </r>
  <r>
    <s v="Aluminum Sheets"/>
    <s v="2024-11-02"/>
    <n v="904"/>
    <s v="Shift 1"/>
    <s v="Drill"/>
    <s v="Welding"/>
    <n v="23"/>
    <n v="2"/>
    <s v="Metro Steel"/>
    <n v="0"/>
  </r>
  <r>
    <s v="Steel Bolts"/>
    <s v="2024-11-19"/>
    <n v="1322"/>
    <s v="Shift 2"/>
    <s v="Drill"/>
    <s v="Assembly"/>
    <n v="37"/>
    <n v="4"/>
    <s v="Metro Steel"/>
    <n v="5"/>
  </r>
  <r>
    <s v="Copper Pipes"/>
    <s v="2024-01-28"/>
    <n v="1017"/>
    <s v="Shift 3"/>
    <s v="Lathe"/>
    <s v="Cutting"/>
    <n v="27"/>
    <n v="0"/>
    <s v="Metro Steel"/>
    <n v="5"/>
  </r>
  <r>
    <s v="Steel Bolts"/>
    <s v="2024-10-05"/>
    <n v="975"/>
    <s v="Shift 3"/>
    <s v="Drill"/>
    <s v="Assembly"/>
    <n v="20"/>
    <n v="2"/>
    <s v="Alpha Metals"/>
    <n v="4"/>
  </r>
  <r>
    <s v="Copper Pipes"/>
    <s v="2024-12-18"/>
    <n v="1208"/>
    <s v="Shift 3"/>
    <s v="Cutter"/>
    <s v="Assembly"/>
    <n v="42"/>
    <n v="7"/>
    <s v="Bright Supplies"/>
    <n v="3"/>
  </r>
  <r>
    <s v="Copper Pipes"/>
    <s v="2024-08-21"/>
    <n v="1270"/>
    <s v="Shift 2"/>
    <s v="Lathe"/>
    <s v="Assembly"/>
    <n v="17"/>
    <n v="10"/>
    <s v="Alpha Metals"/>
    <n v="2"/>
  </r>
  <r>
    <s v="Plastic Gears"/>
    <s v="2024-10-26"/>
    <n v="1960"/>
    <s v="Shift 1"/>
    <s v="Drill"/>
    <s v="Welding"/>
    <n v="35"/>
    <n v="7"/>
    <s v="Alpha Metals"/>
    <n v="2"/>
  </r>
  <r>
    <s v="Steel Bolts"/>
    <s v="2024-01-04"/>
    <n v="1546"/>
    <s v="Shift 2"/>
    <s v="Lathe"/>
    <s v="Cutting"/>
    <n v="34"/>
    <n v="3"/>
    <s v="Metro Steel"/>
    <n v="3"/>
  </r>
  <r>
    <s v="Aluminum Sheets"/>
    <s v="2024-04-07"/>
    <n v="1496"/>
    <s v="Shift 1"/>
    <s v="Press"/>
    <s v="Painting"/>
    <n v="44"/>
    <n v="1"/>
    <s v="Alpha Metals"/>
    <n v="2"/>
  </r>
  <r>
    <s v="Aluminum Sheets"/>
    <s v="2024-09-04"/>
    <n v="1176"/>
    <s v="Shift 1"/>
    <s v="Drill"/>
    <s v="Welding"/>
    <n v="8"/>
    <n v="7"/>
    <s v="QuickParts"/>
    <n v="0"/>
  </r>
  <r>
    <s v="Steel Bolts"/>
    <s v="2024-11-27"/>
    <n v="1213"/>
    <s v="Shift 2"/>
    <s v="Cutter"/>
    <s v="Welding"/>
    <n v="37"/>
    <n v="7"/>
    <s v="Alpha Metals"/>
    <n v="2"/>
  </r>
  <r>
    <s v="Aluminum Sheets"/>
    <s v="2024-05-09"/>
    <n v="1981"/>
    <s v="Shift 1"/>
    <s v="Drill"/>
    <s v="Welding"/>
    <n v="29"/>
    <n v="9"/>
    <s v="QuickParts"/>
    <n v="2"/>
  </r>
  <r>
    <s v="Aluminum Sheets"/>
    <s v="2024-04-20"/>
    <n v="582"/>
    <s v="Shift 1"/>
    <s v="Lathe"/>
    <s v="Painting"/>
    <n v="43"/>
    <n v="3"/>
    <s v="Alpha Metals"/>
    <n v="3"/>
  </r>
  <r>
    <s v="Steel Bolts"/>
    <s v="2024-12-19"/>
    <n v="1668"/>
    <s v="Shift 3"/>
    <s v="Lathe"/>
    <s v="Cutting"/>
    <n v="33"/>
    <n v="2"/>
    <s v="Bright Supplies"/>
    <n v="3"/>
  </r>
  <r>
    <s v="Copper Pipes"/>
    <s v="2024-10-18"/>
    <n v="1608"/>
    <s v="Shift 1"/>
    <s v="Drill"/>
    <s v="Cutting"/>
    <n v="31"/>
    <n v="1"/>
    <s v="Bright Supplies"/>
    <n v="2"/>
  </r>
  <r>
    <s v="Steel Bolts"/>
    <s v="2024-03-08"/>
    <n v="1601"/>
    <s v="Shift 2"/>
    <s v="Cutter"/>
    <s v="Cutting"/>
    <n v="2"/>
    <n v="8"/>
    <s v="Metro Steel"/>
    <n v="1"/>
  </r>
  <r>
    <s v="Copper Pipes"/>
    <s v="2024-01-05"/>
    <n v="956"/>
    <s v="Shift 2"/>
    <s v="Cutter"/>
    <s v="Assembly"/>
    <n v="2"/>
    <n v="0"/>
    <s v="Alpha Metals"/>
    <n v="3"/>
  </r>
  <r>
    <s v="Aluminum Sheets"/>
    <s v="2024-11-15"/>
    <n v="500"/>
    <s v="Shift 1"/>
    <s v="Cutter"/>
    <s v="Assembly"/>
    <n v="27"/>
    <n v="6"/>
    <s v="QuickParts"/>
    <n v="4"/>
  </r>
  <r>
    <s v="Aluminum Sheets"/>
    <s v="2024-03-17"/>
    <n v="550"/>
    <s v="Shift 3"/>
    <s v="Lathe"/>
    <s v="Assembly"/>
    <n v="43"/>
    <n v="4"/>
    <s v="QuickParts"/>
    <n v="4"/>
  </r>
  <r>
    <s v="Aluminum Sheets"/>
    <s v="2024-03-20"/>
    <n v="1184"/>
    <s v="Shift 3"/>
    <s v="Drill"/>
    <s v="Painting"/>
    <n v="14"/>
    <n v="7"/>
    <s v="Alpha Metals"/>
    <n v="0"/>
  </r>
  <r>
    <s v="Plastic Gears"/>
    <s v="2024-08-25"/>
    <n v="1216"/>
    <s v="Shift 1"/>
    <s v="Press"/>
    <s v="Assembly"/>
    <n v="40"/>
    <n v="3"/>
    <s v="QuickParts"/>
    <n v="2"/>
  </r>
  <r>
    <s v="Copper Pipes"/>
    <s v="2024-12-07"/>
    <n v="1969"/>
    <s v="Shift 1"/>
    <s v="Lathe"/>
    <s v="Painting"/>
    <n v="22"/>
    <n v="6"/>
    <s v="Bright Supplies"/>
    <n v="1"/>
  </r>
  <r>
    <s v="Plastic Gears"/>
    <s v="2024-07-26"/>
    <n v="948"/>
    <s v="Shift 2"/>
    <s v="Cutter"/>
    <s v="Cutting"/>
    <n v="39"/>
    <n v="4"/>
    <s v="QuickParts"/>
    <n v="0"/>
  </r>
  <r>
    <s v="Plastic Gears"/>
    <s v="2024-12-24"/>
    <n v="1380"/>
    <s v="Shift 1"/>
    <s v="Drill"/>
    <s v="Assembly"/>
    <n v="10"/>
    <n v="4"/>
    <s v="Metro Steel"/>
    <n v="2"/>
  </r>
  <r>
    <s v="Steel Bolts"/>
    <s v="2024-02-24"/>
    <n v="987"/>
    <s v="Shift 3"/>
    <s v="Cutter"/>
    <s v="Assembly"/>
    <n v="47"/>
    <n v="8"/>
    <s v="Bright Supplies"/>
    <n v="3"/>
  </r>
  <r>
    <s v="Plastic Gears"/>
    <s v="2024-02-06"/>
    <n v="533"/>
    <s v="Shift 1"/>
    <s v="Press"/>
    <s v="Welding"/>
    <n v="31"/>
    <n v="8"/>
    <s v="Bright Supplies"/>
    <n v="4"/>
  </r>
  <r>
    <s v="Steel Bolts"/>
    <s v="2024-07-18"/>
    <n v="1871"/>
    <s v="Shift 2"/>
    <s v="Cutter"/>
    <s v="Painting"/>
    <n v="35"/>
    <n v="8"/>
    <s v="Bright Supplies"/>
    <n v="5"/>
  </r>
  <r>
    <s v="Steel Bolts"/>
    <s v="2024-08-11"/>
    <n v="594"/>
    <s v="Shift 2"/>
    <s v="Cutter"/>
    <s v="Cutting"/>
    <n v="32"/>
    <n v="5"/>
    <s v="Alpha Metals"/>
    <n v="1"/>
  </r>
  <r>
    <s v="Plastic Gears"/>
    <s v="2024-09-11"/>
    <n v="1595"/>
    <s v="Shift 2"/>
    <s v="Press"/>
    <s v="Welding"/>
    <n v="23"/>
    <n v="5"/>
    <s v="Alpha Metals"/>
    <n v="5"/>
  </r>
  <r>
    <s v="Copper Pipes"/>
    <s v="2024-06-23"/>
    <n v="653"/>
    <s v="Shift 2"/>
    <s v="Drill"/>
    <s v="Welding"/>
    <n v="38"/>
    <n v="4"/>
    <s v="Bright Supplies"/>
    <n v="4"/>
  </r>
  <r>
    <s v="Copper Pipes"/>
    <s v="2024-08-23"/>
    <n v="749"/>
    <s v="Shift 2"/>
    <s v="Lathe"/>
    <s v="Cutting"/>
    <n v="33"/>
    <n v="8"/>
    <s v="Alpha Metals"/>
    <n v="5"/>
  </r>
  <r>
    <s v="Copper Pipes"/>
    <s v="2024-11-14"/>
    <n v="1173"/>
    <s v="Shift 1"/>
    <s v="Drill"/>
    <s v="Welding"/>
    <n v="27"/>
    <n v="9"/>
    <s v="QuickParts"/>
    <n v="3"/>
  </r>
  <r>
    <s v="Copper Pipes"/>
    <s v="2024-07-02"/>
    <n v="937"/>
    <s v="Shift 1"/>
    <s v="Press"/>
    <s v="Painting"/>
    <n v="36"/>
    <n v="7"/>
    <s v="Alpha Metals"/>
    <n v="2"/>
  </r>
  <r>
    <s v="Copper Pipes"/>
    <s v="2024-11-19"/>
    <n v="617"/>
    <s v="Shift 1"/>
    <s v="Cutter"/>
    <s v="Painting"/>
    <n v="6"/>
    <n v="6"/>
    <s v="Alpha Metals"/>
    <n v="3"/>
  </r>
  <r>
    <s v="Plastic Gears"/>
    <s v="2024-08-20"/>
    <n v="1270"/>
    <s v="Shift 1"/>
    <s v="Drill"/>
    <s v="Assembly"/>
    <n v="3"/>
    <n v="6"/>
    <s v="Bright Supplies"/>
    <n v="5"/>
  </r>
  <r>
    <s v="Plastic Gears"/>
    <s v="2024-08-30"/>
    <n v="1829"/>
    <s v="Shift 2"/>
    <s v="Lathe"/>
    <s v="Welding"/>
    <n v="36"/>
    <n v="5"/>
    <s v="Metro Steel"/>
    <n v="3"/>
  </r>
  <r>
    <s v="Aluminum Sheets"/>
    <s v="2024-09-23"/>
    <n v="767"/>
    <s v="Shift 3"/>
    <s v="Press"/>
    <s v="Assembly"/>
    <n v="0"/>
    <n v="4"/>
    <s v="Metro Steel"/>
    <n v="4"/>
  </r>
  <r>
    <s v="Copper Pipes"/>
    <s v="2024-02-27"/>
    <n v="1577"/>
    <s v="Shift 1"/>
    <s v="Drill"/>
    <s v="Welding"/>
    <n v="0"/>
    <n v="3"/>
    <s v="Metro Steel"/>
    <n v="1"/>
  </r>
  <r>
    <s v="Plastic Gears"/>
    <s v="2024-05-09"/>
    <n v="735"/>
    <s v="Shift 3"/>
    <s v="Lathe"/>
    <s v="Painting"/>
    <n v="46"/>
    <n v="2"/>
    <s v="QuickParts"/>
    <n v="3"/>
  </r>
  <r>
    <s v="Aluminum Sheets"/>
    <s v="2024-08-10"/>
    <n v="888"/>
    <s v="Shift 1"/>
    <s v="Press"/>
    <s v="Painting"/>
    <n v="19"/>
    <n v="2"/>
    <s v="Alpha Metals"/>
    <n v="4"/>
  </r>
  <r>
    <s v="Copper Pipes"/>
    <s v="2024-10-19"/>
    <n v="1489"/>
    <s v="Shift 1"/>
    <s v="Lathe"/>
    <s v="Painting"/>
    <n v="18"/>
    <n v="5"/>
    <s v="Metro Steel"/>
    <n v="1"/>
  </r>
  <r>
    <s v="Steel Bolts"/>
    <s v="2024-05-15"/>
    <n v="1262"/>
    <s v="Shift 3"/>
    <s v="Press"/>
    <s v="Welding"/>
    <n v="28"/>
    <n v="3"/>
    <s v="Bright Supplies"/>
    <n v="2"/>
  </r>
  <r>
    <s v="Aluminum Sheets"/>
    <s v="2024-10-26"/>
    <n v="900"/>
    <s v="Shift 2"/>
    <s v="Cutter"/>
    <s v="Painting"/>
    <n v="9"/>
    <n v="5"/>
    <s v="Metro Steel"/>
    <n v="5"/>
  </r>
  <r>
    <s v="Plastic Gears"/>
    <s v="2024-03-25"/>
    <n v="1123"/>
    <s v="Shift 1"/>
    <s v="Drill"/>
    <s v="Welding"/>
    <n v="17"/>
    <n v="2"/>
    <s v="Metro Steel"/>
    <n v="2"/>
  </r>
  <r>
    <s v="Steel Bolts"/>
    <s v="2024-03-24"/>
    <n v="1266"/>
    <s v="Shift 1"/>
    <s v="Lathe"/>
    <s v="Assembly"/>
    <n v="27"/>
    <n v="3"/>
    <s v="Alpha Metals"/>
    <n v="0"/>
  </r>
  <r>
    <s v="Steel Bolts"/>
    <s v="2024-11-05"/>
    <n v="1826"/>
    <s v="Shift 1"/>
    <s v="Press"/>
    <s v="Welding"/>
    <n v="34"/>
    <n v="8"/>
    <s v="Alpha Metals"/>
    <n v="4"/>
  </r>
  <r>
    <s v="Steel Bolts"/>
    <s v="2024-03-15"/>
    <n v="1418"/>
    <s v="Shift 3"/>
    <s v="Lathe"/>
    <s v="Assembly"/>
    <n v="42"/>
    <n v="4"/>
    <s v="Alpha Metals"/>
    <n v="1"/>
  </r>
  <r>
    <s v="Aluminum Sheets"/>
    <s v="2024-08-26"/>
    <n v="1730"/>
    <s v="Shift 2"/>
    <s v="Lathe"/>
    <s v="Welding"/>
    <n v="46"/>
    <n v="6"/>
    <s v="QuickParts"/>
    <n v="3"/>
  </r>
  <r>
    <s v="Plastic Gears"/>
    <s v="2024-10-25"/>
    <n v="1752"/>
    <s v="Shift 3"/>
    <s v="Drill"/>
    <s v="Assembly"/>
    <n v="30"/>
    <n v="9"/>
    <s v="QuickParts"/>
    <n v="2"/>
  </r>
  <r>
    <s v="Steel Bolts"/>
    <s v="2024-03-22"/>
    <n v="1352"/>
    <s v="Shift 3"/>
    <s v="Cutter"/>
    <s v="Painting"/>
    <n v="26"/>
    <n v="1"/>
    <s v="Metro Steel"/>
    <n v="1"/>
  </r>
  <r>
    <s v="Copper Pipes"/>
    <s v="2024-04-19"/>
    <n v="1077"/>
    <s v="Shift 2"/>
    <s v="Lathe"/>
    <s v="Assembly"/>
    <n v="10"/>
    <n v="4"/>
    <s v="Alpha Metals"/>
    <n v="4"/>
  </r>
  <r>
    <s v="Steel Bolts"/>
    <s v="2024-02-12"/>
    <n v="574"/>
    <s v="Shift 3"/>
    <s v="Press"/>
    <s v="Painting"/>
    <n v="48"/>
    <n v="8"/>
    <s v="Metro Steel"/>
    <n v="0"/>
  </r>
  <r>
    <s v="Steel Bolts"/>
    <s v="2024-04-25"/>
    <n v="934"/>
    <s v="Shift 2"/>
    <s v="Press"/>
    <s v="Painting"/>
    <n v="48"/>
    <n v="10"/>
    <s v="Bright Supplies"/>
    <n v="2"/>
  </r>
  <r>
    <s v="Aluminum Sheets"/>
    <s v="2024-04-16"/>
    <n v="602"/>
    <s v="Shift 1"/>
    <s v="Cutter"/>
    <s v="Assembly"/>
    <n v="37"/>
    <n v="2"/>
    <s v="Bright Supplies"/>
    <n v="5"/>
  </r>
  <r>
    <s v="Aluminum Sheets"/>
    <s v="2024-09-12"/>
    <n v="1945"/>
    <s v="Shift 2"/>
    <s v="Press"/>
    <s v="Welding"/>
    <n v="4"/>
    <n v="8"/>
    <s v="Alpha Metals"/>
    <n v="1"/>
  </r>
  <r>
    <s v="Plastic Gears"/>
    <s v="2024-02-07"/>
    <n v="1263"/>
    <s v="Shift 1"/>
    <s v="Cutter"/>
    <s v="Welding"/>
    <n v="7"/>
    <n v="10"/>
    <s v="Alpha Metals"/>
    <n v="5"/>
  </r>
  <r>
    <s v="Copper Pipes"/>
    <s v="2024-04-10"/>
    <n v="1237"/>
    <s v="Shift 3"/>
    <s v="Press"/>
    <s v="Cutting"/>
    <n v="33"/>
    <n v="5"/>
    <s v="Bright Supplies"/>
    <n v="1"/>
  </r>
  <r>
    <s v="Aluminum Sheets"/>
    <s v="2024-08-31"/>
    <n v="1305"/>
    <s v="Shift 3"/>
    <s v="Drill"/>
    <s v="Welding"/>
    <n v="47"/>
    <n v="3"/>
    <s v="Alpha Metals"/>
    <n v="1"/>
  </r>
  <r>
    <s v="Steel Bolts"/>
    <s v="2024-10-13"/>
    <n v="1829"/>
    <s v="Shift 1"/>
    <s v="Lathe"/>
    <s v="Cutting"/>
    <n v="11"/>
    <n v="6"/>
    <s v="QuickParts"/>
    <n v="4"/>
  </r>
  <r>
    <s v="Plastic Gears"/>
    <s v="2024-03-06"/>
    <n v="597"/>
    <s v="Shift 3"/>
    <s v="Drill"/>
    <s v="Welding"/>
    <n v="37"/>
    <n v="7"/>
    <s v="QuickParts"/>
    <n v="4"/>
  </r>
  <r>
    <s v="Steel Bolts"/>
    <s v="2024-02-23"/>
    <n v="1297"/>
    <s v="Shift 2"/>
    <s v="Lathe"/>
    <s v="Welding"/>
    <n v="0"/>
    <n v="5"/>
    <s v="Alpha Metals"/>
    <n v="4"/>
  </r>
  <r>
    <s v="Steel Bolts"/>
    <s v="2024-07-29"/>
    <n v="1858"/>
    <s v="Shift 1"/>
    <s v="Lathe"/>
    <s v="Painting"/>
    <n v="30"/>
    <n v="4"/>
    <s v="Bright Supplies"/>
    <n v="3"/>
  </r>
  <r>
    <s v="Aluminum Sheets"/>
    <s v="2024-09-24"/>
    <n v="1358"/>
    <s v="Shift 3"/>
    <s v="Lathe"/>
    <s v="Cutting"/>
    <n v="3"/>
    <n v="5"/>
    <s v="Metro Steel"/>
    <n v="1"/>
  </r>
  <r>
    <s v="Plastic Gears"/>
    <s v="2024-05-06"/>
    <n v="934"/>
    <s v="Shift 1"/>
    <s v="Drill"/>
    <s v="Welding"/>
    <n v="48"/>
    <n v="4"/>
    <s v="Alpha Metals"/>
    <n v="2"/>
  </r>
  <r>
    <s v="Copper Pipes"/>
    <s v="2024-08-16"/>
    <n v="946"/>
    <s v="Shift 2"/>
    <s v="Lathe"/>
    <s v="Cutting"/>
    <n v="44"/>
    <n v="7"/>
    <s v="Alpha Metals"/>
    <n v="5"/>
  </r>
  <r>
    <s v="Copper Pipes"/>
    <s v="2024-12-20"/>
    <n v="1831"/>
    <s v="Shift 2"/>
    <s v="Drill"/>
    <s v="Painting"/>
    <n v="49"/>
    <n v="0"/>
    <s v="Metro Steel"/>
    <n v="4"/>
  </r>
  <r>
    <s v="Aluminum Sheets"/>
    <s v="2024-10-31"/>
    <n v="748"/>
    <s v="Shift 3"/>
    <s v="Cutter"/>
    <s v="Painting"/>
    <n v="4"/>
    <n v="10"/>
    <s v="Alpha Metals"/>
    <n v="4"/>
  </r>
  <r>
    <s v="Aluminum Sheets"/>
    <s v="2024-07-24"/>
    <n v="665"/>
    <s v="Shift 2"/>
    <s v="Press"/>
    <s v="Cutting"/>
    <n v="29"/>
    <n v="6"/>
    <s v="Metro Steel"/>
    <n v="5"/>
  </r>
  <r>
    <s v="Plastic Gears"/>
    <s v="2024-06-03"/>
    <n v="1483"/>
    <s v="Shift 1"/>
    <s v="Press"/>
    <s v="Painting"/>
    <n v="23"/>
    <n v="9"/>
    <s v="Bright Supplies"/>
    <n v="5"/>
  </r>
  <r>
    <s v="Copper Pipes"/>
    <s v="2024-08-07"/>
    <n v="1858"/>
    <s v="Shift 2"/>
    <s v="Lathe"/>
    <s v="Assembly"/>
    <n v="2"/>
    <n v="9"/>
    <s v="QuickParts"/>
    <n v="1"/>
  </r>
  <r>
    <s v="Copper Pipes"/>
    <s v="2024-12-26"/>
    <n v="1519"/>
    <s v="Shift 1"/>
    <s v="Drill"/>
    <s v="Assembly"/>
    <n v="10"/>
    <n v="10"/>
    <s v="Bright Supplies"/>
    <n v="4"/>
  </r>
  <r>
    <s v="Copper Pipes"/>
    <s v="2024-08-11"/>
    <n v="1041"/>
    <s v="Shift 1"/>
    <s v="Press"/>
    <s v="Painting"/>
    <n v="44"/>
    <n v="1"/>
    <s v="QuickParts"/>
    <n v="5"/>
  </r>
  <r>
    <s v="Steel Bolts"/>
    <s v="2024-09-07"/>
    <n v="1258"/>
    <s v="Shift 2"/>
    <s v="Drill"/>
    <s v="Assembly"/>
    <n v="3"/>
    <n v="8"/>
    <s v="Metro Steel"/>
    <n v="3"/>
  </r>
  <r>
    <s v="Copper Pipes"/>
    <s v="2024-01-30"/>
    <n v="1629"/>
    <s v="Shift 3"/>
    <s v="Drill"/>
    <s v="Welding"/>
    <n v="25"/>
    <n v="0"/>
    <s v="QuickParts"/>
    <n v="3"/>
  </r>
  <r>
    <s v="Steel Bolts"/>
    <s v="2024-02-28"/>
    <n v="580"/>
    <s v="Shift 2"/>
    <s v="Lathe"/>
    <s v="Cutting"/>
    <n v="26"/>
    <n v="10"/>
    <s v="Bright Supplies"/>
    <n v="4"/>
  </r>
  <r>
    <s v="Plastic Gears"/>
    <s v="2024-07-08"/>
    <n v="632"/>
    <s v="Shift 1"/>
    <s v="Press"/>
    <s v="Welding"/>
    <n v="45"/>
    <n v="9"/>
    <s v="QuickParts"/>
    <n v="5"/>
  </r>
  <r>
    <s v="Steel Bolts"/>
    <s v="2024-10-14"/>
    <n v="1296"/>
    <s v="Shift 1"/>
    <s v="Lathe"/>
    <s v="Cutting"/>
    <n v="42"/>
    <n v="5"/>
    <s v="Metro Steel"/>
    <n v="1"/>
  </r>
  <r>
    <s v="Plastic Gears"/>
    <s v="2024-03-21"/>
    <n v="1399"/>
    <s v="Shift 2"/>
    <s v="Lathe"/>
    <s v="Painting"/>
    <n v="26"/>
    <n v="8"/>
    <s v="QuickParts"/>
    <n v="1"/>
  </r>
  <r>
    <s v="Copper Pipes"/>
    <s v="2024-02-04"/>
    <n v="637"/>
    <s v="Shift 3"/>
    <s v="Press"/>
    <s v="Welding"/>
    <n v="41"/>
    <n v="0"/>
    <s v="Alpha Metals"/>
    <n v="1"/>
  </r>
  <r>
    <s v="Copper Pipes"/>
    <s v="2024-08-18"/>
    <n v="683"/>
    <s v="Shift 3"/>
    <s v="Press"/>
    <s v="Painting"/>
    <n v="50"/>
    <n v="3"/>
    <s v="Bright Supplies"/>
    <n v="0"/>
  </r>
  <r>
    <s v="Plastic Gears"/>
    <s v="2024-12-28"/>
    <n v="1924"/>
    <s v="Shift 1"/>
    <s v="Cutter"/>
    <s v="Painting"/>
    <n v="49"/>
    <n v="3"/>
    <s v="Alpha Metals"/>
    <n v="4"/>
  </r>
  <r>
    <s v="Aluminum Sheets"/>
    <s v="2024-07-17"/>
    <n v="1853"/>
    <s v="Shift 1"/>
    <s v="Cutter"/>
    <s v="Cutting"/>
    <n v="5"/>
    <n v="8"/>
    <s v="Metro Steel"/>
    <n v="1"/>
  </r>
  <r>
    <s v="Plastic Gears"/>
    <s v="2024-03-24"/>
    <n v="1284"/>
    <s v="Shift 3"/>
    <s v="Drill"/>
    <s v="Cutting"/>
    <n v="14"/>
    <n v="10"/>
    <s v="QuickParts"/>
    <n v="3"/>
  </r>
  <r>
    <s v="Aluminum Sheets"/>
    <s v="2024-02-15"/>
    <n v="1483"/>
    <s v="Shift 2"/>
    <s v="Press"/>
    <s v="Cutting"/>
    <n v="29"/>
    <n v="4"/>
    <s v="Alpha Metals"/>
    <n v="5"/>
  </r>
  <r>
    <s v="Steel Bolts"/>
    <s v="2024-06-07"/>
    <n v="568"/>
    <s v="Shift 1"/>
    <s v="Cutter"/>
    <s v="Welding"/>
    <n v="41"/>
    <n v="4"/>
    <s v="Alpha Metals"/>
    <n v="2"/>
  </r>
  <r>
    <s v="Steel Bolts"/>
    <s v="2024-08-23"/>
    <n v="1045"/>
    <s v="Shift 1"/>
    <s v="Drill"/>
    <s v="Assembly"/>
    <n v="36"/>
    <n v="5"/>
    <s v="QuickParts"/>
    <n v="2"/>
  </r>
  <r>
    <s v="Steel Bolts"/>
    <s v="2024-10-11"/>
    <n v="552"/>
    <s v="Shift 3"/>
    <s v="Drill"/>
    <s v="Cutting"/>
    <n v="36"/>
    <n v="0"/>
    <s v="QuickParts"/>
    <n v="1"/>
  </r>
  <r>
    <s v="Copper Pipes"/>
    <s v="2024-05-21"/>
    <n v="1973"/>
    <s v="Shift 2"/>
    <s v="Drill"/>
    <s v="Cutting"/>
    <n v="41"/>
    <n v="0"/>
    <s v="Bright Supplies"/>
    <n v="2"/>
  </r>
  <r>
    <s v="Steel Bolts"/>
    <s v="2024-05-15"/>
    <n v="704"/>
    <s v="Shift 3"/>
    <s v="Cutter"/>
    <s v="Welding"/>
    <n v="36"/>
    <n v="8"/>
    <s v="Alpha Metals"/>
    <n v="2"/>
  </r>
  <r>
    <s v="Aluminum Sheets"/>
    <s v="2024-06-22"/>
    <n v="625"/>
    <s v="Shift 2"/>
    <s v="Press"/>
    <s v="Cutting"/>
    <n v="34"/>
    <n v="2"/>
    <s v="Alpha Metals"/>
    <n v="0"/>
  </r>
  <r>
    <s v="Steel Bolts"/>
    <s v="2024-03-24"/>
    <n v="542"/>
    <s v="Shift 2"/>
    <s v="Lathe"/>
    <s v="Welding"/>
    <n v="22"/>
    <n v="3"/>
    <s v="Metro Steel"/>
    <n v="3"/>
  </r>
  <r>
    <s v="Plastic Gears"/>
    <s v="2024-01-03"/>
    <n v="610"/>
    <s v="Shift 2"/>
    <s v="Drill"/>
    <s v="Painting"/>
    <n v="5"/>
    <n v="0"/>
    <s v="Bright Supplies"/>
    <n v="3"/>
  </r>
  <r>
    <s v="Plastic Gears"/>
    <s v="2024-03-23"/>
    <n v="1260"/>
    <s v="Shift 1"/>
    <s v="Cutter"/>
    <s v="Cutting"/>
    <n v="3"/>
    <n v="8"/>
    <s v="Metro Steel"/>
    <n v="0"/>
  </r>
  <r>
    <s v="Copper Pipes"/>
    <s v="2024-05-07"/>
    <n v="1706"/>
    <s v="Shift 3"/>
    <s v="Cutter"/>
    <s v="Cutting"/>
    <n v="17"/>
    <n v="7"/>
    <s v="Alpha Metals"/>
    <n v="0"/>
  </r>
  <r>
    <s v="Plastic Gears"/>
    <s v="2024-10-11"/>
    <n v="1347"/>
    <s v="Shift 3"/>
    <s v="Lathe"/>
    <s v="Painting"/>
    <n v="8"/>
    <n v="1"/>
    <s v="Metro Steel"/>
    <n v="2"/>
  </r>
  <r>
    <s v="Aluminum Sheets"/>
    <s v="2024-04-29"/>
    <n v="594"/>
    <s v="Shift 2"/>
    <s v="Lathe"/>
    <s v="Painting"/>
    <n v="48"/>
    <n v="7"/>
    <s v="Alpha Metals"/>
    <n v="4"/>
  </r>
  <r>
    <s v="Steel Bolts"/>
    <s v="2024-01-23"/>
    <n v="1897"/>
    <s v="Shift 1"/>
    <s v="Cutter"/>
    <s v="Painting"/>
    <n v="28"/>
    <n v="6"/>
    <s v="Alpha Metals"/>
    <n v="5"/>
  </r>
  <r>
    <s v="Copper Pipes"/>
    <s v="2024-09-23"/>
    <n v="1399"/>
    <s v="Shift 1"/>
    <s v="Press"/>
    <s v="Cutting"/>
    <n v="12"/>
    <n v="10"/>
    <s v="Metro Steel"/>
    <n v="5"/>
  </r>
  <r>
    <s v="Steel Bolts"/>
    <s v="2024-01-01"/>
    <n v="859"/>
    <s v="Shift 3"/>
    <s v="Lathe"/>
    <s v="Assembly"/>
    <n v="46"/>
    <n v="5"/>
    <s v="Metro Steel"/>
    <n v="2"/>
  </r>
  <r>
    <s v="Steel Bolts"/>
    <s v="2024-12-19"/>
    <n v="1399"/>
    <s v="Shift 1"/>
    <s v="Cutter"/>
    <s v="Assembly"/>
    <n v="16"/>
    <n v="0"/>
    <s v="QuickParts"/>
    <n v="5"/>
  </r>
  <r>
    <s v="Aluminum Sheets"/>
    <s v="2024-01-22"/>
    <n v="780"/>
    <s v="Shift 1"/>
    <s v="Lathe"/>
    <s v="Assembly"/>
    <n v="44"/>
    <n v="6"/>
    <s v="QuickParts"/>
    <n v="0"/>
  </r>
  <r>
    <s v="Plastic Gears"/>
    <s v="2024-10-08"/>
    <n v="1718"/>
    <s v="Shift 2"/>
    <s v="Press"/>
    <s v="Cutting"/>
    <n v="31"/>
    <n v="9"/>
    <s v="QuickParts"/>
    <n v="3"/>
  </r>
  <r>
    <s v="Plastic Gears"/>
    <s v="2024-08-03"/>
    <n v="1718"/>
    <s v="Shift 1"/>
    <s v="Drill"/>
    <s v="Painting"/>
    <n v="47"/>
    <n v="6"/>
    <s v="Alpha Metals"/>
    <n v="5"/>
  </r>
  <r>
    <s v="Steel Bolts"/>
    <s v="2024-02-27"/>
    <n v="1166"/>
    <s v="Shift 2"/>
    <s v="Lathe"/>
    <s v="Cutting"/>
    <n v="21"/>
    <n v="8"/>
    <s v="Metro Steel"/>
    <n v="2"/>
  </r>
  <r>
    <s v="Copper Pipes"/>
    <s v="2024-11-07"/>
    <n v="592"/>
    <s v="Shift 3"/>
    <s v="Press"/>
    <s v="Painting"/>
    <n v="3"/>
    <n v="0"/>
    <s v="Bright Supplies"/>
    <n v="4"/>
  </r>
  <r>
    <s v="Plastic Gears"/>
    <s v="2024-11-05"/>
    <n v="1171"/>
    <s v="Shift 1"/>
    <s v="Cutter"/>
    <s v="Cutting"/>
    <n v="4"/>
    <n v="1"/>
    <s v="Alpha Metals"/>
    <n v="2"/>
  </r>
  <r>
    <s v="Copper Pipes"/>
    <s v="2024-07-20"/>
    <n v="560"/>
    <s v="Shift 3"/>
    <s v="Lathe"/>
    <s v="Cutting"/>
    <n v="36"/>
    <n v="10"/>
    <s v="Bright Supplies"/>
    <n v="1"/>
  </r>
  <r>
    <s v="Plastic Gears"/>
    <s v="2024-12-17"/>
    <n v="1133"/>
    <s v="Shift 3"/>
    <s v="Lathe"/>
    <s v="Painting"/>
    <n v="40"/>
    <n v="8"/>
    <s v="Metro Steel"/>
    <n v="2"/>
  </r>
  <r>
    <s v="Copper Pipes"/>
    <s v="2024-01-15"/>
    <n v="1574"/>
    <s v="Shift 1"/>
    <s v="Cutter"/>
    <s v="Assembly"/>
    <n v="48"/>
    <n v="8"/>
    <s v="Alpha Metals"/>
    <n v="0"/>
  </r>
  <r>
    <s v="Aluminum Sheets"/>
    <s v="2024-10-25"/>
    <n v="1926"/>
    <s v="Shift 1"/>
    <s v="Drill"/>
    <s v="Painting"/>
    <n v="12"/>
    <n v="5"/>
    <s v="Bright Supplies"/>
    <n v="3"/>
  </r>
  <r>
    <s v="Copper Pipes"/>
    <s v="2024-09-18"/>
    <n v="1528"/>
    <s v="Shift 3"/>
    <s v="Cutter"/>
    <s v="Welding"/>
    <n v="33"/>
    <n v="5"/>
    <s v="Bright Supplies"/>
    <n v="3"/>
  </r>
  <r>
    <s v="Aluminum Sheets"/>
    <s v="2024-07-10"/>
    <n v="1989"/>
    <s v="Shift 1"/>
    <s v="Lathe"/>
    <s v="Welding"/>
    <n v="44"/>
    <n v="3"/>
    <s v="QuickParts"/>
    <n v="5"/>
  </r>
  <r>
    <s v="Aluminum Sheets"/>
    <s v="2024-04-02"/>
    <n v="1103"/>
    <s v="Shift 2"/>
    <s v="Cutter"/>
    <s v="Painting"/>
    <n v="21"/>
    <n v="3"/>
    <s v="QuickParts"/>
    <n v="0"/>
  </r>
  <r>
    <s v="Copper Pipes"/>
    <s v="2024-08-06"/>
    <n v="1181"/>
    <s v="Shift 2"/>
    <s v="Press"/>
    <s v="Cutting"/>
    <n v="22"/>
    <n v="4"/>
    <s v="QuickParts"/>
    <n v="1"/>
  </r>
  <r>
    <s v="Aluminum Sheets"/>
    <s v="2024-09-12"/>
    <n v="1033"/>
    <s v="Shift 1"/>
    <s v="Cutter"/>
    <s v="Welding"/>
    <n v="50"/>
    <n v="2"/>
    <s v="Alpha Metals"/>
    <n v="0"/>
  </r>
  <r>
    <s v="Steel Bolts"/>
    <s v="2024-08-21"/>
    <n v="1928"/>
    <s v="Shift 3"/>
    <s v="Lathe"/>
    <s v="Welding"/>
    <n v="2"/>
    <n v="0"/>
    <s v="Metro Steel"/>
    <n v="2"/>
  </r>
  <r>
    <s v="Aluminum Sheets"/>
    <s v="2024-11-02"/>
    <n v="1337"/>
    <s v="Shift 1"/>
    <s v="Cutter"/>
    <s v="Cutting"/>
    <n v="41"/>
    <n v="0"/>
    <s v="Metro Steel"/>
    <n v="0"/>
  </r>
  <r>
    <s v="Plastic Gears"/>
    <s v="2024-09-27"/>
    <n v="1144"/>
    <s v="Shift 1"/>
    <s v="Drill"/>
    <s v="Cutting"/>
    <n v="33"/>
    <n v="6"/>
    <s v="QuickParts"/>
    <n v="0"/>
  </r>
  <r>
    <s v="Copper Pipes"/>
    <s v="2024-05-19"/>
    <n v="732"/>
    <s v="Shift 3"/>
    <s v="Cutter"/>
    <s v="Assembly"/>
    <n v="31"/>
    <n v="0"/>
    <s v="QuickParts"/>
    <n v="1"/>
  </r>
  <r>
    <s v="Steel Bolts"/>
    <s v="2024-03-19"/>
    <n v="1023"/>
    <s v="Shift 3"/>
    <s v="Drill"/>
    <s v="Cutting"/>
    <n v="44"/>
    <n v="0"/>
    <s v="QuickParts"/>
    <n v="2"/>
  </r>
  <r>
    <s v="Copper Pipes"/>
    <s v="2024-08-03"/>
    <n v="845"/>
    <s v="Shift 2"/>
    <s v="Press"/>
    <s v="Painting"/>
    <n v="50"/>
    <n v="2"/>
    <s v="Bright Supplies"/>
    <n v="4"/>
  </r>
  <r>
    <s v="Plastic Gears"/>
    <s v="2024-03-11"/>
    <n v="1569"/>
    <s v="Shift 3"/>
    <s v="Drill"/>
    <s v="Painting"/>
    <n v="48"/>
    <n v="9"/>
    <s v="QuickParts"/>
    <n v="4"/>
  </r>
  <r>
    <s v="Plastic Gears"/>
    <s v="2024-06-03"/>
    <n v="1045"/>
    <s v="Shift 2"/>
    <s v="Cutter"/>
    <s v="Assembly"/>
    <n v="20"/>
    <n v="3"/>
    <s v="Bright Supplies"/>
    <n v="3"/>
  </r>
  <r>
    <s v="Plastic Gears"/>
    <s v="2024-09-15"/>
    <n v="1601"/>
    <s v="Shift 3"/>
    <s v="Lathe"/>
    <s v="Welding"/>
    <n v="45"/>
    <n v="3"/>
    <s v="Metro Steel"/>
    <n v="5"/>
  </r>
  <r>
    <s v="Aluminum Sheets"/>
    <s v="2024-04-02"/>
    <n v="1596"/>
    <s v="Shift 1"/>
    <s v="Drill"/>
    <s v="Welding"/>
    <n v="43"/>
    <n v="1"/>
    <s v="Alpha Metals"/>
    <n v="0"/>
  </r>
  <r>
    <s v="Aluminum Sheets"/>
    <s v="2024-11-04"/>
    <n v="1293"/>
    <s v="Shift 2"/>
    <s v="Press"/>
    <s v="Cutting"/>
    <n v="20"/>
    <n v="0"/>
    <s v="Alpha Metals"/>
    <n v="3"/>
  </r>
  <r>
    <s v="Copper Pipes"/>
    <s v="2024-04-28"/>
    <n v="748"/>
    <s v="Shift 2"/>
    <s v="Drill"/>
    <s v="Painting"/>
    <n v="43"/>
    <n v="2"/>
    <s v="Alpha Metals"/>
    <n v="1"/>
  </r>
  <r>
    <s v="Copper Pipes"/>
    <s v="2024-06-08"/>
    <n v="546"/>
    <s v="Shift 2"/>
    <s v="Drill"/>
    <s v="Welding"/>
    <n v="10"/>
    <n v="10"/>
    <s v="Alpha Metals"/>
    <n v="4"/>
  </r>
  <r>
    <s v="Steel Bolts"/>
    <s v="2024-02-06"/>
    <n v="1644"/>
    <s v="Shift 1"/>
    <s v="Drill"/>
    <s v="Assembly"/>
    <n v="38"/>
    <n v="3"/>
    <s v="Bright Supplies"/>
    <n v="0"/>
  </r>
  <r>
    <s v="Steel Bolts"/>
    <s v="2024-02-04"/>
    <n v="713"/>
    <s v="Shift 1"/>
    <s v="Press"/>
    <s v="Assembly"/>
    <n v="3"/>
    <n v="2"/>
    <s v="Bright Supplies"/>
    <n v="1"/>
  </r>
  <r>
    <s v="Copper Pipes"/>
    <s v="2024-12-14"/>
    <n v="738"/>
    <s v="Shift 1"/>
    <s v="Cutter"/>
    <s v="Painting"/>
    <n v="50"/>
    <n v="7"/>
    <s v="QuickParts"/>
    <n v="5"/>
  </r>
  <r>
    <s v="Aluminum Sheets"/>
    <s v="2024-11-10"/>
    <n v="1579"/>
    <s v="Shift 1"/>
    <s v="Drill"/>
    <s v="Assembly"/>
    <n v="0"/>
    <n v="9"/>
    <s v="Bright Supplies"/>
    <n v="1"/>
  </r>
  <r>
    <s v="Plastic Gears"/>
    <s v="2024-07-21"/>
    <n v="849"/>
    <s v="Shift 1"/>
    <s v="Drill"/>
    <s v="Assembly"/>
    <n v="27"/>
    <n v="0"/>
    <s v="QuickParts"/>
    <n v="0"/>
  </r>
  <r>
    <s v="Copper Pipes"/>
    <s v="2024-09-03"/>
    <n v="606"/>
    <s v="Shift 2"/>
    <s v="Lathe"/>
    <s v="Painting"/>
    <n v="23"/>
    <n v="1"/>
    <s v="QuickParts"/>
    <n v="5"/>
  </r>
  <r>
    <s v="Steel Bolts"/>
    <s v="2024-03-20"/>
    <n v="1330"/>
    <s v="Shift 1"/>
    <s v="Press"/>
    <s v="Cutting"/>
    <n v="34"/>
    <n v="6"/>
    <s v="Alpha Metals"/>
    <n v="1"/>
  </r>
  <r>
    <s v="Aluminum Sheets"/>
    <s v="2024-12-04"/>
    <n v="547"/>
    <s v="Shift 2"/>
    <s v="Drill"/>
    <s v="Cutting"/>
    <n v="12"/>
    <n v="3"/>
    <s v="Bright Supplies"/>
    <n v="5"/>
  </r>
  <r>
    <s v="Copper Pipes"/>
    <s v="2024-09-16"/>
    <n v="836"/>
    <s v="Shift 1"/>
    <s v="Press"/>
    <s v="Assembly"/>
    <n v="46"/>
    <n v="7"/>
    <s v="Bright Supplies"/>
    <n v="0"/>
  </r>
  <r>
    <s v="Copper Pipes"/>
    <s v="2024-07-22"/>
    <n v="1549"/>
    <s v="Shift 3"/>
    <s v="Drill"/>
    <s v="Cutting"/>
    <n v="33"/>
    <n v="10"/>
    <s v="QuickParts"/>
    <n v="0"/>
  </r>
  <r>
    <s v="Aluminum Sheets"/>
    <s v="2024-06-14"/>
    <n v="1303"/>
    <s v="Shift 2"/>
    <s v="Cutter"/>
    <s v="Cutting"/>
    <n v="10"/>
    <n v="2"/>
    <s v="QuickParts"/>
    <n v="5"/>
  </r>
  <r>
    <s v="Copper Pipes"/>
    <s v="2024-09-25"/>
    <n v="1780"/>
    <s v="Shift 3"/>
    <s v="Cutter"/>
    <s v="Assembly"/>
    <n v="35"/>
    <n v="5"/>
    <s v="Metro Steel"/>
    <n v="2"/>
  </r>
  <r>
    <s v="Aluminum Sheets"/>
    <s v="2024-03-14"/>
    <n v="507"/>
    <s v="Shift 2"/>
    <s v="Drill"/>
    <s v="Cutting"/>
    <n v="50"/>
    <n v="8"/>
    <s v="Metro Steel"/>
    <n v="3"/>
  </r>
  <r>
    <s v="Plastic Gears"/>
    <s v="2024-11-27"/>
    <n v="1124"/>
    <s v="Shift 3"/>
    <s v="Cutter"/>
    <s v="Assembly"/>
    <n v="16"/>
    <n v="0"/>
    <s v="QuickParts"/>
    <n v="1"/>
  </r>
  <r>
    <s v="Aluminum Sheets"/>
    <s v="2024-12-27"/>
    <n v="1776"/>
    <s v="Shift 1"/>
    <s v="Drill"/>
    <s v="Welding"/>
    <n v="34"/>
    <n v="0"/>
    <s v="Metro Steel"/>
    <n v="1"/>
  </r>
  <r>
    <s v="Aluminum Sheets"/>
    <s v="2024-07-06"/>
    <n v="1218"/>
    <s v="Shift 1"/>
    <s v="Cutter"/>
    <s v="Painting"/>
    <n v="17"/>
    <n v="7"/>
    <s v="Metro Steel"/>
    <n v="2"/>
  </r>
  <r>
    <s v="Aluminum Sheets"/>
    <s v="2024-01-09"/>
    <n v="802"/>
    <s v="Shift 1"/>
    <s v="Lathe"/>
    <s v="Painting"/>
    <n v="39"/>
    <n v="2"/>
    <s v="QuickParts"/>
    <n v="2"/>
  </r>
  <r>
    <s v="Copper Pipes"/>
    <s v="2024-03-24"/>
    <n v="1138"/>
    <s v="Shift 2"/>
    <s v="Lathe"/>
    <s v="Cutting"/>
    <n v="21"/>
    <n v="4"/>
    <s v="QuickParts"/>
    <n v="2"/>
  </r>
  <r>
    <s v="Copper Pipes"/>
    <s v="2024-02-10"/>
    <n v="555"/>
    <s v="Shift 3"/>
    <s v="Lathe"/>
    <s v="Cutting"/>
    <n v="23"/>
    <n v="0"/>
    <s v="Bright Supplies"/>
    <n v="4"/>
  </r>
  <r>
    <s v="Aluminum Sheets"/>
    <s v="2024-10-17"/>
    <n v="1225"/>
    <s v="Shift 1"/>
    <s v="Press"/>
    <s v="Cutting"/>
    <n v="18"/>
    <n v="4"/>
    <s v="QuickParts"/>
    <n v="4"/>
  </r>
  <r>
    <s v="Copper Pipes"/>
    <s v="2024-02-26"/>
    <n v="1025"/>
    <s v="Shift 3"/>
    <s v="Press"/>
    <s v="Painting"/>
    <n v="36"/>
    <n v="10"/>
    <s v="QuickParts"/>
    <n v="5"/>
  </r>
  <r>
    <s v="Steel Bolts"/>
    <s v="2024-01-10"/>
    <n v="973"/>
    <s v="Shift 3"/>
    <s v="Lathe"/>
    <s v="Welding"/>
    <n v="38"/>
    <n v="5"/>
    <s v="Alpha Metals"/>
    <n v="4"/>
  </r>
  <r>
    <s v="Steel Bolts"/>
    <s v="2024-08-01"/>
    <n v="527"/>
    <s v="Shift 1"/>
    <s v="Press"/>
    <s v="Welding"/>
    <n v="20"/>
    <n v="7"/>
    <s v="Bright Supplies"/>
    <n v="0"/>
  </r>
  <r>
    <s v="Copper Pipes"/>
    <s v="2024-06-15"/>
    <n v="577"/>
    <s v="Shift 1"/>
    <s v="Cutter"/>
    <s v="Painting"/>
    <n v="7"/>
    <n v="2"/>
    <s v="Bright Supplies"/>
    <n v="5"/>
  </r>
  <r>
    <s v="Copper Pipes"/>
    <s v="2024-12-21"/>
    <n v="1739"/>
    <s v="Shift 3"/>
    <s v="Drill"/>
    <s v="Welding"/>
    <n v="27"/>
    <n v="2"/>
    <s v="Bright Supplies"/>
    <n v="1"/>
  </r>
  <r>
    <s v="Aluminum Sheets"/>
    <s v="2024-02-01"/>
    <n v="1909"/>
    <s v="Shift 1"/>
    <s v="Drill"/>
    <s v="Painting"/>
    <n v="4"/>
    <n v="10"/>
    <s v="Alpha Metals"/>
    <n v="3"/>
  </r>
  <r>
    <s v="Plastic Gears"/>
    <s v="2024-04-03"/>
    <n v="864"/>
    <s v="Shift 1"/>
    <s v="Drill"/>
    <s v="Welding"/>
    <n v="16"/>
    <n v="10"/>
    <s v="QuickParts"/>
    <n v="0"/>
  </r>
  <r>
    <s v="Copper Pipes"/>
    <s v="2024-06-10"/>
    <n v="1165"/>
    <s v="Shift 1"/>
    <s v="Lathe"/>
    <s v="Assembly"/>
    <n v="36"/>
    <n v="9"/>
    <s v="Bright Supplies"/>
    <n v="1"/>
  </r>
  <r>
    <s v="Steel Bolts"/>
    <s v="2024-05-02"/>
    <n v="1025"/>
    <s v="Shift 2"/>
    <s v="Press"/>
    <s v="Assembly"/>
    <n v="35"/>
    <n v="8"/>
    <s v="Bright Supplies"/>
    <n v="1"/>
  </r>
  <r>
    <s v="Aluminum Sheets"/>
    <s v="2024-01-12"/>
    <n v="1198"/>
    <s v="Shift 3"/>
    <s v="Cutter"/>
    <s v="Painting"/>
    <n v="18"/>
    <n v="3"/>
    <s v="Metro Steel"/>
    <n v="5"/>
  </r>
  <r>
    <s v="Copper Pipes"/>
    <s v="2024-09-23"/>
    <n v="1835"/>
    <s v="Shift 3"/>
    <s v="Cutter"/>
    <s v="Welding"/>
    <n v="26"/>
    <n v="3"/>
    <s v="Bright Supplies"/>
    <n v="2"/>
  </r>
  <r>
    <s v="Steel Bolts"/>
    <s v="2024-11-21"/>
    <n v="1382"/>
    <s v="Shift 2"/>
    <s v="Lathe"/>
    <s v="Cutting"/>
    <n v="33"/>
    <n v="6"/>
    <s v="QuickParts"/>
    <n v="2"/>
  </r>
  <r>
    <s v="Steel Bolts"/>
    <s v="2024-10-21"/>
    <n v="1530"/>
    <s v="Shift 3"/>
    <s v="Cutter"/>
    <s v="Welding"/>
    <n v="10"/>
    <n v="1"/>
    <s v="QuickParts"/>
    <n v="0"/>
  </r>
  <r>
    <s v="Plastic Gears"/>
    <s v="2024-03-11"/>
    <n v="1526"/>
    <s v="Shift 1"/>
    <s v="Cutter"/>
    <s v="Assembly"/>
    <n v="44"/>
    <n v="7"/>
    <s v="Metro Steel"/>
    <n v="2"/>
  </r>
  <r>
    <s v="Aluminum Sheets"/>
    <s v="2024-12-24"/>
    <n v="1418"/>
    <s v="Shift 3"/>
    <s v="Cutter"/>
    <s v="Assembly"/>
    <n v="46"/>
    <n v="5"/>
    <s v="Bright Supplies"/>
    <n v="1"/>
  </r>
  <r>
    <s v="Aluminum Sheets"/>
    <s v="2024-03-25"/>
    <n v="1249"/>
    <s v="Shift 1"/>
    <s v="Cutter"/>
    <s v="Welding"/>
    <n v="11"/>
    <n v="2"/>
    <s v="Bright Supplies"/>
    <n v="2"/>
  </r>
  <r>
    <s v="Plastic Gears"/>
    <s v="2024-03-29"/>
    <n v="862"/>
    <s v="Shift 2"/>
    <s v="Press"/>
    <s v="Welding"/>
    <n v="20"/>
    <n v="8"/>
    <s v="Bright Supplies"/>
    <n v="4"/>
  </r>
  <r>
    <s v="Plastic Gears"/>
    <s v="2024-06-26"/>
    <n v="1797"/>
    <s v="Shift 1"/>
    <s v="Cutter"/>
    <s v="Cutting"/>
    <n v="10"/>
    <n v="4"/>
    <s v="Alpha Metals"/>
    <n v="2"/>
  </r>
  <r>
    <s v="Aluminum Sheets"/>
    <s v="2024-10-09"/>
    <n v="1305"/>
    <s v="Shift 3"/>
    <s v="Drill"/>
    <s v="Cutting"/>
    <n v="38"/>
    <n v="7"/>
    <s v="Bright Supplies"/>
    <n v="1"/>
  </r>
  <r>
    <s v="Aluminum Sheets"/>
    <s v="2024-08-11"/>
    <n v="1238"/>
    <s v="Shift 3"/>
    <s v="Lathe"/>
    <s v="Welding"/>
    <n v="27"/>
    <n v="6"/>
    <s v="QuickParts"/>
    <n v="5"/>
  </r>
  <r>
    <s v="Copper Pipes"/>
    <s v="2024-01-29"/>
    <n v="1538"/>
    <s v="Shift 3"/>
    <s v="Press"/>
    <s v="Welding"/>
    <n v="4"/>
    <n v="7"/>
    <s v="QuickParts"/>
    <n v="0"/>
  </r>
  <r>
    <s v="Copper Pipes"/>
    <s v="2024-04-18"/>
    <n v="1715"/>
    <s v="Shift 2"/>
    <s v="Cutter"/>
    <s v="Welding"/>
    <n v="16"/>
    <n v="6"/>
    <s v="Alpha Metals"/>
    <n v="3"/>
  </r>
  <r>
    <s v="Plastic Gears"/>
    <s v="2024-07-01"/>
    <n v="984"/>
    <s v="Shift 2"/>
    <s v="Press"/>
    <s v="Welding"/>
    <n v="19"/>
    <n v="2"/>
    <s v="Alpha Metals"/>
    <n v="2"/>
  </r>
  <r>
    <s v="Copper Pipes"/>
    <s v="2024-10-28"/>
    <n v="527"/>
    <s v="Shift 3"/>
    <s v="Cutter"/>
    <s v="Painting"/>
    <n v="40"/>
    <n v="1"/>
    <s v="Bright Supplies"/>
    <n v="1"/>
  </r>
  <r>
    <s v="Steel Bolts"/>
    <s v="2024-12-05"/>
    <n v="1213"/>
    <s v="Shift 1"/>
    <s v="Drill"/>
    <s v="Welding"/>
    <n v="45"/>
    <n v="6"/>
    <s v="Metro Steel"/>
    <n v="3"/>
  </r>
  <r>
    <s v="Copper Pipes"/>
    <s v="2024-09-30"/>
    <n v="1562"/>
    <s v="Shift 2"/>
    <s v="Lathe"/>
    <s v="Cutting"/>
    <n v="11"/>
    <n v="2"/>
    <s v="Alpha Metals"/>
    <n v="3"/>
  </r>
  <r>
    <s v="Copper Pipes"/>
    <s v="2024-11-28"/>
    <n v="1796"/>
    <s v="Shift 3"/>
    <s v="Cutter"/>
    <s v="Assembly"/>
    <n v="5"/>
    <n v="2"/>
    <s v="Alpha Metals"/>
    <n v="4"/>
  </r>
  <r>
    <s v="Steel Bolts"/>
    <s v="2024-07-13"/>
    <n v="1754"/>
    <s v="Shift 3"/>
    <s v="Cutter"/>
    <s v="Painting"/>
    <n v="16"/>
    <n v="1"/>
    <s v="Bright Supplies"/>
    <n v="3"/>
  </r>
  <r>
    <s v="Plastic Gears"/>
    <s v="2024-09-24"/>
    <n v="585"/>
    <s v="Shift 2"/>
    <s v="Cutter"/>
    <s v="Welding"/>
    <n v="50"/>
    <n v="3"/>
    <s v="Bright Supplies"/>
    <n v="5"/>
  </r>
  <r>
    <s v="Steel Bolts"/>
    <s v="2024-11-04"/>
    <n v="1997"/>
    <s v="Shift 2"/>
    <s v="Cutter"/>
    <s v="Assembly"/>
    <n v="18"/>
    <n v="7"/>
    <s v="Alpha Metals"/>
    <n v="1"/>
  </r>
  <r>
    <s v="Copper Pipes"/>
    <s v="2024-03-14"/>
    <n v="625"/>
    <s v="Shift 2"/>
    <s v="Lathe"/>
    <s v="Painting"/>
    <n v="25"/>
    <n v="0"/>
    <s v="Metro Steel"/>
    <n v="1"/>
  </r>
  <r>
    <s v="Plastic Gears"/>
    <s v="2024-02-01"/>
    <n v="1311"/>
    <s v="Shift 1"/>
    <s v="Lathe"/>
    <s v="Assembly"/>
    <n v="47"/>
    <n v="0"/>
    <s v="Alpha Metals"/>
    <n v="2"/>
  </r>
  <r>
    <s v="Copper Pipes"/>
    <s v="2024-12-06"/>
    <n v="1036"/>
    <s v="Shift 1"/>
    <s v="Drill"/>
    <s v="Welding"/>
    <n v="43"/>
    <n v="4"/>
    <s v="Bright Supplies"/>
    <n v="2"/>
  </r>
  <r>
    <s v="Steel Bolts"/>
    <s v="2024-01-25"/>
    <n v="644"/>
    <s v="Shift 3"/>
    <s v="Lathe"/>
    <s v="Welding"/>
    <n v="43"/>
    <n v="10"/>
    <s v="Bright Supplies"/>
    <n v="2"/>
  </r>
  <r>
    <s v="Steel Bolts"/>
    <s v="2024-01-02"/>
    <n v="1735"/>
    <s v="Shift 2"/>
    <s v="Cutter"/>
    <s v="Cutting"/>
    <n v="31"/>
    <n v="4"/>
    <s v="Alpha Metals"/>
    <n v="5"/>
  </r>
  <r>
    <s v="Copper Pipes"/>
    <s v="2024-03-30"/>
    <n v="524"/>
    <s v="Shift 1"/>
    <s v="Drill"/>
    <s v="Welding"/>
    <n v="5"/>
    <n v="10"/>
    <s v="Metro Steel"/>
    <n v="3"/>
  </r>
  <r>
    <s v="Aluminum Sheets"/>
    <s v="2024-07-31"/>
    <n v="1917"/>
    <s v="Shift 2"/>
    <s v="Drill"/>
    <s v="Welding"/>
    <n v="35"/>
    <n v="0"/>
    <s v="Alpha Metals"/>
    <n v="3"/>
  </r>
  <r>
    <s v="Aluminum Sheets"/>
    <s v="2024-11-14"/>
    <n v="566"/>
    <s v="Shift 3"/>
    <s v="Drill"/>
    <s v="Painting"/>
    <n v="37"/>
    <n v="5"/>
    <s v="Alpha Metals"/>
    <n v="4"/>
  </r>
  <r>
    <s v="Steel Bolts"/>
    <s v="2024-02-21"/>
    <n v="732"/>
    <s v="Shift 1"/>
    <s v="Cutter"/>
    <s v="Cutting"/>
    <n v="10"/>
    <n v="0"/>
    <s v="Bright Supplies"/>
    <n v="5"/>
  </r>
  <r>
    <s v="Steel Bolts"/>
    <s v="2024-12-04"/>
    <n v="608"/>
    <s v="Shift 1"/>
    <s v="Press"/>
    <s v="Painting"/>
    <n v="32"/>
    <n v="4"/>
    <s v="Metro Steel"/>
    <n v="2"/>
  </r>
  <r>
    <s v="Aluminum Sheets"/>
    <s v="2024-08-17"/>
    <n v="1669"/>
    <s v="Shift 1"/>
    <s v="Cutter"/>
    <s v="Assembly"/>
    <n v="23"/>
    <n v="8"/>
    <s v="QuickParts"/>
    <n v="0"/>
  </r>
  <r>
    <s v="Aluminum Sheets"/>
    <s v="2024-06-12"/>
    <n v="610"/>
    <s v="Shift 3"/>
    <s v="Lathe"/>
    <s v="Welding"/>
    <n v="22"/>
    <n v="4"/>
    <s v="Metro Steel"/>
    <n v="4"/>
  </r>
  <r>
    <s v="Copper Pipes"/>
    <s v="2024-10-26"/>
    <n v="727"/>
    <s v="Shift 2"/>
    <s v="Lathe"/>
    <s v="Assembly"/>
    <n v="14"/>
    <n v="5"/>
    <s v="Alpha Metals"/>
    <n v="0"/>
  </r>
  <r>
    <s v="Copper Pipes"/>
    <s v="2024-06-13"/>
    <n v="610"/>
    <s v="Shift 1"/>
    <s v="Cutter"/>
    <s v="Painting"/>
    <n v="26"/>
    <n v="7"/>
    <s v="Alpha Metals"/>
    <n v="3"/>
  </r>
  <r>
    <s v="Aluminum Sheets"/>
    <s v="2024-09-04"/>
    <n v="1993"/>
    <s v="Shift 3"/>
    <s v="Cutter"/>
    <s v="Welding"/>
    <n v="10"/>
    <n v="10"/>
    <s v="Alpha Metals"/>
    <n v="4"/>
  </r>
  <r>
    <s v="Copper Pipes"/>
    <s v="2024-01-30"/>
    <n v="533"/>
    <s v="Shift 2"/>
    <s v="Drill"/>
    <s v="Welding"/>
    <n v="50"/>
    <n v="0"/>
    <s v="Metro Steel"/>
    <n v="4"/>
  </r>
  <r>
    <s v="Copper Pipes"/>
    <s v="2024-07-16"/>
    <n v="1122"/>
    <s v="Shift 3"/>
    <s v="Cutter"/>
    <s v="Painting"/>
    <n v="49"/>
    <n v="1"/>
    <s v="Bright Supplies"/>
    <n v="1"/>
  </r>
  <r>
    <s v="Plastic Gears"/>
    <s v="2024-12-14"/>
    <n v="1892"/>
    <s v="Shift 2"/>
    <s v="Drill"/>
    <s v="Painting"/>
    <n v="16"/>
    <n v="8"/>
    <s v="Alpha Metals"/>
    <n v="3"/>
  </r>
  <r>
    <s v="Copper Pipes"/>
    <s v="2024-06-23"/>
    <n v="1247"/>
    <s v="Shift 3"/>
    <s v="Lathe"/>
    <s v="Painting"/>
    <n v="50"/>
    <n v="2"/>
    <s v="Alpha Metals"/>
    <n v="3"/>
  </r>
  <r>
    <s v="Steel Bolts"/>
    <s v="2024-02-20"/>
    <n v="1094"/>
    <s v="Shift 2"/>
    <s v="Drill"/>
    <s v="Painting"/>
    <n v="13"/>
    <n v="5"/>
    <s v="Metro Steel"/>
    <n v="5"/>
  </r>
  <r>
    <s v="Copper Pipes"/>
    <s v="2024-06-19"/>
    <n v="924"/>
    <s v="Shift 1"/>
    <s v="Cutter"/>
    <s v="Painting"/>
    <n v="26"/>
    <n v="4"/>
    <s v="QuickParts"/>
    <n v="4"/>
  </r>
  <r>
    <s v="Copper Pipes"/>
    <s v="2024-05-09"/>
    <n v="1112"/>
    <s v="Shift 2"/>
    <s v="Lathe"/>
    <s v="Welding"/>
    <n v="17"/>
    <n v="10"/>
    <s v="QuickParts"/>
    <n v="3"/>
  </r>
  <r>
    <s v="Aluminum Sheets"/>
    <s v="2024-03-03"/>
    <n v="1191"/>
    <s v="Shift 3"/>
    <s v="Press"/>
    <s v="Painting"/>
    <n v="27"/>
    <n v="1"/>
    <s v="Bright Supplies"/>
    <n v="4"/>
  </r>
  <r>
    <s v="Steel Bolts"/>
    <s v="2024-12-03"/>
    <n v="1805"/>
    <s v="Shift 3"/>
    <s v="Drill"/>
    <s v="Welding"/>
    <n v="50"/>
    <n v="6"/>
    <s v="Bright Supplies"/>
    <n v="5"/>
  </r>
  <r>
    <s v="Copper Pipes"/>
    <s v="2024-04-16"/>
    <n v="1843"/>
    <s v="Shift 2"/>
    <s v="Lathe"/>
    <s v="Welding"/>
    <n v="46"/>
    <n v="3"/>
    <s v="Alpha Metals"/>
    <n v="5"/>
  </r>
  <r>
    <s v="Copper Pipes"/>
    <s v="2024-10-19"/>
    <n v="1966"/>
    <s v="Shift 1"/>
    <s v="Drill"/>
    <s v="Painting"/>
    <n v="46"/>
    <n v="0"/>
    <s v="Metro Steel"/>
    <n v="1"/>
  </r>
  <r>
    <s v="Plastic Gears"/>
    <s v="2024-05-10"/>
    <n v="814"/>
    <s v="Shift 1"/>
    <s v="Lathe"/>
    <s v="Painting"/>
    <n v="3"/>
    <n v="3"/>
    <s v="Alpha Metals"/>
    <n v="4"/>
  </r>
  <r>
    <s v="Copper Pipes"/>
    <s v="2024-04-30"/>
    <n v="1376"/>
    <s v="Shift 2"/>
    <s v="Lathe"/>
    <s v="Cutting"/>
    <n v="6"/>
    <n v="5"/>
    <s v="Bright Supplies"/>
    <n v="3"/>
  </r>
  <r>
    <s v="Copper Pipes"/>
    <s v="2024-07-07"/>
    <n v="1900"/>
    <s v="Shift 2"/>
    <s v="Drill"/>
    <s v="Welding"/>
    <n v="44"/>
    <n v="6"/>
    <s v="Metro Steel"/>
    <n v="3"/>
  </r>
  <r>
    <s v="Plastic Gears"/>
    <s v="2024-11-21"/>
    <n v="1812"/>
    <s v="Shift 3"/>
    <s v="Press"/>
    <s v="Painting"/>
    <n v="34"/>
    <n v="6"/>
    <s v="Metro Steel"/>
    <n v="4"/>
  </r>
  <r>
    <s v="Aluminum Sheets"/>
    <s v="2024-10-13"/>
    <n v="1960"/>
    <s v="Shift 1"/>
    <s v="Lathe"/>
    <s v="Painting"/>
    <n v="47"/>
    <n v="6"/>
    <s v="Bright Supplies"/>
    <n v="4"/>
  </r>
  <r>
    <s v="Copper Pipes"/>
    <s v="2024-08-23"/>
    <n v="1161"/>
    <s v="Shift 2"/>
    <s v="Lathe"/>
    <s v="Painting"/>
    <n v="8"/>
    <n v="2"/>
    <s v="QuickParts"/>
    <n v="4"/>
  </r>
  <r>
    <s v="Plastic Gears"/>
    <s v="2024-03-18"/>
    <n v="776"/>
    <s v="Shift 1"/>
    <s v="Lathe"/>
    <s v="Cutting"/>
    <n v="7"/>
    <n v="5"/>
    <s v="QuickParts"/>
    <n v="2"/>
  </r>
  <r>
    <s v="Steel Bolts"/>
    <s v="2024-03-09"/>
    <n v="1123"/>
    <s v="Shift 2"/>
    <s v="Press"/>
    <s v="Cutting"/>
    <n v="44"/>
    <n v="7"/>
    <s v="Metro Steel"/>
    <n v="3"/>
  </r>
  <r>
    <s v="Aluminum Sheets"/>
    <s v="2024-02-07"/>
    <n v="1015"/>
    <s v="Shift 2"/>
    <s v="Press"/>
    <s v="Assembly"/>
    <n v="16"/>
    <n v="3"/>
    <s v="Alpha Metals"/>
    <n v="5"/>
  </r>
  <r>
    <s v="Steel Bolts"/>
    <s v="2024-12-26"/>
    <n v="1873"/>
    <s v="Shift 1"/>
    <s v="Cutter"/>
    <s v="Welding"/>
    <n v="16"/>
    <n v="7"/>
    <s v="QuickParts"/>
    <n v="3"/>
  </r>
  <r>
    <s v="Steel Bolts"/>
    <s v="2024-12-19"/>
    <n v="1342"/>
    <s v="Shift 2"/>
    <s v="Drill"/>
    <s v="Assembly"/>
    <n v="48"/>
    <n v="1"/>
    <s v="Alpha Metals"/>
    <n v="2"/>
  </r>
  <r>
    <s v="Plastic Gears"/>
    <s v="2024-12-01"/>
    <n v="1969"/>
    <s v="Shift 2"/>
    <s v="Press"/>
    <s v="Painting"/>
    <n v="32"/>
    <n v="9"/>
    <s v="QuickParts"/>
    <n v="4"/>
  </r>
  <r>
    <s v="Copper Pipes"/>
    <s v="2024-05-19"/>
    <n v="849"/>
    <s v="Shift 3"/>
    <s v="Drill"/>
    <s v="Cutting"/>
    <n v="31"/>
    <n v="8"/>
    <s v="QuickParts"/>
    <n v="1"/>
  </r>
  <r>
    <s v="Plastic Gears"/>
    <s v="2024-04-28"/>
    <n v="1322"/>
    <s v="Shift 2"/>
    <s v="Cutter"/>
    <s v="Cutting"/>
    <n v="7"/>
    <n v="8"/>
    <s v="Alpha Metals"/>
    <n v="4"/>
  </r>
  <r>
    <s v="Plastic Gears"/>
    <s v="2024-07-18"/>
    <n v="1660"/>
    <s v="Shift 2"/>
    <s v="Drill"/>
    <s v="Assembly"/>
    <n v="18"/>
    <n v="7"/>
    <s v="Bright Supplies"/>
    <n v="4"/>
  </r>
  <r>
    <s v="Plastic Gears"/>
    <s v="2024-04-29"/>
    <n v="1258"/>
    <s v="Shift 2"/>
    <s v="Press"/>
    <s v="Cutting"/>
    <n v="37"/>
    <n v="9"/>
    <s v="QuickParts"/>
    <n v="2"/>
  </r>
  <r>
    <s v="Plastic Gears"/>
    <s v="2024-06-15"/>
    <n v="1398"/>
    <s v="Shift 3"/>
    <s v="Drill"/>
    <s v="Painting"/>
    <n v="2"/>
    <n v="9"/>
    <s v="QuickParts"/>
    <n v="3"/>
  </r>
  <r>
    <s v="Aluminum Sheets"/>
    <s v="2024-11-20"/>
    <n v="742"/>
    <s v="Shift 1"/>
    <s v="Press"/>
    <s v="Cutting"/>
    <n v="4"/>
    <n v="0"/>
    <s v="Alpha Metals"/>
    <n v="4"/>
  </r>
  <r>
    <s v="Copper Pipes"/>
    <s v="2024-05-14"/>
    <n v="1042"/>
    <s v="Shift 3"/>
    <s v="Drill"/>
    <s v="Assembly"/>
    <n v="12"/>
    <n v="1"/>
    <s v="Bright Supplies"/>
    <n v="3"/>
  </r>
  <r>
    <s v="Steel Bolts"/>
    <s v="2024-03-23"/>
    <n v="1563"/>
    <s v="Shift 3"/>
    <s v="Press"/>
    <s v="Painting"/>
    <n v="46"/>
    <n v="5"/>
    <s v="QuickParts"/>
    <n v="0"/>
  </r>
  <r>
    <s v="Steel Bolts"/>
    <s v="2024-12-29"/>
    <n v="728"/>
    <s v="Shift 1"/>
    <s v="Press"/>
    <s v="Assembly"/>
    <n v="45"/>
    <n v="9"/>
    <s v="QuickParts"/>
    <n v="5"/>
  </r>
  <r>
    <s v="Copper Pipes"/>
    <s v="2024-07-26"/>
    <n v="1047"/>
    <s v="Shift 3"/>
    <s v="Drill"/>
    <s v="Cutting"/>
    <n v="30"/>
    <n v="4"/>
    <s v="Bright Supplies"/>
    <n v="3"/>
  </r>
  <r>
    <s v="Steel Bolts"/>
    <s v="2024-01-30"/>
    <n v="1419"/>
    <s v="Shift 1"/>
    <s v="Cutter"/>
    <s v="Assembly"/>
    <n v="15"/>
    <n v="8"/>
    <s v="QuickParts"/>
    <n v="1"/>
  </r>
  <r>
    <s v="Copper Pipes"/>
    <s v="2024-05-27"/>
    <n v="1746"/>
    <s v="Shift 3"/>
    <s v="Lathe"/>
    <s v="Assembly"/>
    <n v="49"/>
    <n v="4"/>
    <s v="Bright Supplies"/>
    <n v="5"/>
  </r>
  <r>
    <s v="Steel Bolts"/>
    <s v="2024-01-29"/>
    <n v="505"/>
    <s v="Shift 1"/>
    <s v="Cutter"/>
    <s v="Welding"/>
    <n v="31"/>
    <n v="1"/>
    <s v="Bright Supplies"/>
    <n v="1"/>
  </r>
  <r>
    <s v="Plastic Gears"/>
    <s v="2024-05-31"/>
    <n v="1845"/>
    <s v="Shift 2"/>
    <s v="Drill"/>
    <s v="Cutting"/>
    <n v="21"/>
    <n v="9"/>
    <s v="Alpha Metals"/>
    <n v="4"/>
  </r>
  <r>
    <s v="Steel Bolts"/>
    <s v="2024-03-13"/>
    <n v="967"/>
    <s v="Shift 3"/>
    <s v="Cutter"/>
    <s v="Cutting"/>
    <n v="28"/>
    <n v="3"/>
    <s v="Metro Steel"/>
    <n v="5"/>
  </r>
  <r>
    <s v="Copper Pipes"/>
    <s v="2024-05-07"/>
    <n v="574"/>
    <s v="Shift 3"/>
    <s v="Press"/>
    <s v="Assembly"/>
    <n v="21"/>
    <n v="8"/>
    <s v="Bright Supplies"/>
    <n v="3"/>
  </r>
  <r>
    <s v="Copper Pipes"/>
    <s v="2024-09-16"/>
    <n v="503"/>
    <s v="Shift 3"/>
    <s v="Lathe"/>
    <s v="Welding"/>
    <n v="42"/>
    <n v="0"/>
    <s v="Alpha Metals"/>
    <n v="5"/>
  </r>
  <r>
    <s v="Copper Pipes"/>
    <s v="2024-01-05"/>
    <n v="1145"/>
    <s v="Shift 3"/>
    <s v="Drill"/>
    <s v="Cutting"/>
    <n v="2"/>
    <n v="10"/>
    <s v="Metro Steel"/>
    <n v="4"/>
  </r>
  <r>
    <s v="Copper Pipes"/>
    <s v="2024-12-03"/>
    <n v="617"/>
    <s v="Shift 2"/>
    <s v="Drill"/>
    <s v="Painting"/>
    <n v="9"/>
    <n v="0"/>
    <s v="QuickParts"/>
    <n v="2"/>
  </r>
  <r>
    <s v="Copper Pipes"/>
    <s v="2024-07-04"/>
    <n v="1380"/>
    <s v="Shift 3"/>
    <s v="Drill"/>
    <s v="Assembly"/>
    <n v="41"/>
    <n v="6"/>
    <s v="Metro Steel"/>
    <n v="1"/>
  </r>
  <r>
    <s v="Aluminum Sheets"/>
    <s v="2024-08-23"/>
    <n v="1003"/>
    <s v="Shift 2"/>
    <s v="Lathe"/>
    <s v="Cutting"/>
    <n v="20"/>
    <n v="10"/>
    <s v="Bright Supplies"/>
    <n v="4"/>
  </r>
  <r>
    <s v="Aluminum Sheets"/>
    <s v="2024-12-07"/>
    <n v="1446"/>
    <s v="Shift 2"/>
    <s v="Press"/>
    <s v="Painting"/>
    <n v="15"/>
    <n v="2"/>
    <s v="Bright Supplies"/>
    <n v="2"/>
  </r>
  <r>
    <s v="Steel Bolts"/>
    <s v="2024-07-04"/>
    <n v="1073"/>
    <s v="Shift 2"/>
    <s v="Drill"/>
    <s v="Cutting"/>
    <n v="11"/>
    <n v="9"/>
    <s v="Bright Supplies"/>
    <n v="5"/>
  </r>
  <r>
    <s v="Copper Pipes"/>
    <s v="2024-02-08"/>
    <n v="1964"/>
    <s v="Shift 2"/>
    <s v="Cutter"/>
    <s v="Painting"/>
    <n v="1"/>
    <n v="1"/>
    <s v="Bright Supplies"/>
    <n v="5"/>
  </r>
  <r>
    <s v="Steel Bolts"/>
    <s v="2024-12-23"/>
    <n v="693"/>
    <s v="Shift 1"/>
    <s v="Drill"/>
    <s v="Assembly"/>
    <n v="40"/>
    <n v="8"/>
    <s v="Bright Supplies"/>
    <n v="4"/>
  </r>
  <r>
    <s v="Copper Pipes"/>
    <s v="2024-08-17"/>
    <n v="1346"/>
    <s v="Shift 1"/>
    <s v="Drill"/>
    <s v="Cutting"/>
    <n v="23"/>
    <n v="2"/>
    <s v="Alpha Metals"/>
    <n v="3"/>
  </r>
  <r>
    <s v="Copper Pipes"/>
    <s v="2024-11-16"/>
    <n v="1214"/>
    <s v="Shift 3"/>
    <s v="Drill"/>
    <s v="Cutting"/>
    <n v="34"/>
    <n v="1"/>
    <s v="Bright Supplies"/>
    <n v="5"/>
  </r>
  <r>
    <s v="Aluminum Sheets"/>
    <s v="2024-10-26"/>
    <n v="1915"/>
    <s v="Shift 1"/>
    <s v="Drill"/>
    <s v="Welding"/>
    <n v="29"/>
    <n v="7"/>
    <s v="Alpha Metals"/>
    <n v="3"/>
  </r>
  <r>
    <s v="Aluminum Sheets"/>
    <s v="2024-06-30"/>
    <n v="1549"/>
    <s v="Shift 1"/>
    <s v="Press"/>
    <s v="Assembly"/>
    <n v="29"/>
    <n v="9"/>
    <s v="QuickParts"/>
    <n v="3"/>
  </r>
  <r>
    <s v="Plastic Gears"/>
    <s v="2024-11-21"/>
    <n v="1958"/>
    <s v="Shift 3"/>
    <s v="Cutter"/>
    <s v="Painting"/>
    <n v="46"/>
    <n v="5"/>
    <s v="Bright Supplies"/>
    <n v="3"/>
  </r>
  <r>
    <s v="Aluminum Sheets"/>
    <s v="2024-03-24"/>
    <n v="672"/>
    <s v="Shift 3"/>
    <s v="Press"/>
    <s v="Cutting"/>
    <n v="34"/>
    <n v="5"/>
    <s v="Bright Supplies"/>
    <n v="0"/>
  </r>
  <r>
    <s v="Plastic Gears"/>
    <s v="2024-03-27"/>
    <n v="1823"/>
    <s v="Shift 3"/>
    <s v="Cutter"/>
    <s v="Cutting"/>
    <n v="18"/>
    <n v="9"/>
    <s v="Metro Steel"/>
    <n v="2"/>
  </r>
  <r>
    <s v="Plastic Gears"/>
    <s v="2024-02-26"/>
    <n v="825"/>
    <s v="Shift 1"/>
    <s v="Drill"/>
    <s v="Painting"/>
    <n v="49"/>
    <n v="10"/>
    <s v="QuickParts"/>
    <n v="2"/>
  </r>
  <r>
    <s v="Plastic Gears"/>
    <s v="2024-10-06"/>
    <n v="1933"/>
    <s v="Shift 1"/>
    <s v="Lathe"/>
    <s v="Assembly"/>
    <n v="7"/>
    <n v="6"/>
    <s v="Bright Supplies"/>
    <n v="5"/>
  </r>
  <r>
    <s v="Plastic Gears"/>
    <s v="2024-10-13"/>
    <n v="1641"/>
    <s v="Shift 3"/>
    <s v="Press"/>
    <s v="Welding"/>
    <n v="25"/>
    <n v="6"/>
    <s v="Bright Supplies"/>
    <n v="5"/>
  </r>
  <r>
    <s v="Plastic Gears"/>
    <s v="2024-12-02"/>
    <n v="1335"/>
    <s v="Shift 2"/>
    <s v="Lathe"/>
    <s v="Welding"/>
    <n v="48"/>
    <n v="10"/>
    <s v="QuickParts"/>
    <n v="3"/>
  </r>
  <r>
    <s v="Steel Bolts"/>
    <s v="2024-11-04"/>
    <n v="1223"/>
    <s v="Shift 3"/>
    <s v="Press"/>
    <s v="Cutting"/>
    <n v="39"/>
    <n v="5"/>
    <s v="Alpha Metals"/>
    <n v="0"/>
  </r>
  <r>
    <s v="Aluminum Sheets"/>
    <s v="2024-11-29"/>
    <n v="724"/>
    <s v="Shift 2"/>
    <s v="Drill"/>
    <s v="Painting"/>
    <n v="6"/>
    <n v="3"/>
    <s v="Bright Supplies"/>
    <n v="3"/>
  </r>
  <r>
    <s v="Plastic Gears"/>
    <s v="2024-03-27"/>
    <n v="1031"/>
    <s v="Shift 2"/>
    <s v="Press"/>
    <s v="Cutting"/>
    <n v="29"/>
    <n v="10"/>
    <s v="Metro Steel"/>
    <n v="0"/>
  </r>
  <r>
    <s v="Copper Pipes"/>
    <s v="2024-01-24"/>
    <n v="612"/>
    <s v="Shift 3"/>
    <s v="Drill"/>
    <s v="Painting"/>
    <n v="6"/>
    <n v="8"/>
    <s v="Bright Supplies"/>
    <n v="3"/>
  </r>
  <r>
    <s v="Aluminum Sheets"/>
    <s v="2024-07-11"/>
    <n v="639"/>
    <s v="Shift 3"/>
    <s v="Press"/>
    <s v="Welding"/>
    <n v="2"/>
    <n v="5"/>
    <s v="Metro Steel"/>
    <n v="1"/>
  </r>
  <r>
    <s v="Aluminum Sheets"/>
    <s v="2024-01-19"/>
    <n v="1058"/>
    <s v="Shift 3"/>
    <s v="Drill"/>
    <s v="Assembly"/>
    <n v="0"/>
    <n v="3"/>
    <s v="Metro Steel"/>
    <n v="1"/>
  </r>
  <r>
    <s v="Plastic Gears"/>
    <s v="2024-01-11"/>
    <n v="500"/>
    <s v="Shift 1"/>
    <s v="Drill"/>
    <s v="Painting"/>
    <n v="35"/>
    <n v="2"/>
    <s v="Bright Supplies"/>
    <n v="4"/>
  </r>
  <r>
    <s v="Steel Bolts"/>
    <s v="2024-11-21"/>
    <n v="589"/>
    <s v="Shift 2"/>
    <s v="Cutter"/>
    <s v="Welding"/>
    <n v="24"/>
    <n v="3"/>
    <s v="Bright Supplies"/>
    <n v="3"/>
  </r>
  <r>
    <s v="Plastic Gears"/>
    <s v="2024-11-08"/>
    <n v="1153"/>
    <s v="Shift 1"/>
    <s v="Drill"/>
    <s v="Cutting"/>
    <n v="36"/>
    <n v="2"/>
    <s v="Metro Steel"/>
    <n v="5"/>
  </r>
  <r>
    <s v="Steel Bolts"/>
    <s v="2024-11-05"/>
    <n v="819"/>
    <s v="Shift 1"/>
    <s v="Cutter"/>
    <s v="Painting"/>
    <n v="0"/>
    <n v="1"/>
    <s v="QuickParts"/>
    <n v="2"/>
  </r>
  <r>
    <s v="Copper Pipes"/>
    <s v="2024-11-21"/>
    <n v="638"/>
    <s v="Shift 3"/>
    <s v="Drill"/>
    <s v="Assembly"/>
    <n v="14"/>
    <n v="4"/>
    <s v="QuickParts"/>
    <n v="4"/>
  </r>
  <r>
    <s v="Aluminum Sheets"/>
    <s v="2024-01-08"/>
    <n v="1344"/>
    <s v="Shift 1"/>
    <s v="Lathe"/>
    <s v="Cutting"/>
    <n v="36"/>
    <n v="1"/>
    <s v="Bright Supplies"/>
    <n v="5"/>
  </r>
  <r>
    <s v="Copper Pipes"/>
    <s v="2024-12-14"/>
    <n v="758"/>
    <s v="Shift 3"/>
    <s v="Drill"/>
    <s v="Cutting"/>
    <n v="12"/>
    <n v="5"/>
    <s v="Alpha Metals"/>
    <n v="1"/>
  </r>
  <r>
    <s v="Steel Bolts"/>
    <s v="2024-11-14"/>
    <n v="1401"/>
    <s v="Shift 2"/>
    <s v="Lathe"/>
    <s v="Welding"/>
    <n v="39"/>
    <n v="2"/>
    <s v="QuickParts"/>
    <n v="3"/>
  </r>
  <r>
    <s v="Steel Bolts"/>
    <s v="2024-04-11"/>
    <n v="1189"/>
    <s v="Shift 3"/>
    <s v="Lathe"/>
    <s v="Painting"/>
    <n v="7"/>
    <n v="5"/>
    <s v="Bright Supplies"/>
    <n v="4"/>
  </r>
  <r>
    <s v="Copper Pipes"/>
    <s v="2024-04-18"/>
    <n v="509"/>
    <s v="Shift 1"/>
    <s v="Drill"/>
    <s v="Cutting"/>
    <n v="4"/>
    <n v="10"/>
    <s v="QuickParts"/>
    <n v="3"/>
  </r>
  <r>
    <s v="Steel Bolts"/>
    <s v="2024-07-13"/>
    <n v="760"/>
    <s v="Shift 1"/>
    <s v="Lathe"/>
    <s v="Assembly"/>
    <n v="8"/>
    <n v="9"/>
    <s v="Alpha Metals"/>
    <n v="1"/>
  </r>
  <r>
    <s v="Copper Pipes"/>
    <s v="2024-03-03"/>
    <n v="671"/>
    <s v="Shift 3"/>
    <s v="Cutter"/>
    <s v="Painting"/>
    <n v="0"/>
    <n v="8"/>
    <s v="Bright Supplies"/>
    <n v="4"/>
  </r>
  <r>
    <s v="Aluminum Sheets"/>
    <s v="2024-09-01"/>
    <n v="1397"/>
    <s v="Shift 3"/>
    <s v="Press"/>
    <s v="Assembly"/>
    <n v="35"/>
    <n v="0"/>
    <s v="Alpha Metals"/>
    <n v="1"/>
  </r>
  <r>
    <s v="Copper Pipes"/>
    <s v="2024-04-20"/>
    <n v="512"/>
    <s v="Shift 1"/>
    <s v="Drill"/>
    <s v="Cutting"/>
    <n v="34"/>
    <n v="5"/>
    <s v="Bright Supplies"/>
    <n v="0"/>
  </r>
  <r>
    <s v="Aluminum Sheets"/>
    <s v="2024-12-05"/>
    <n v="1691"/>
    <s v="Shift 2"/>
    <s v="Lathe"/>
    <s v="Assembly"/>
    <n v="1"/>
    <n v="8"/>
    <s v="Alpha Metals"/>
    <n v="1"/>
  </r>
  <r>
    <s v="Copper Pipes"/>
    <s v="2024-02-15"/>
    <n v="820"/>
    <s v="Shift 2"/>
    <s v="Drill"/>
    <s v="Welding"/>
    <n v="39"/>
    <n v="10"/>
    <s v="QuickParts"/>
    <n v="3"/>
  </r>
  <r>
    <s v="Steel Bolts"/>
    <s v="2024-07-11"/>
    <n v="1842"/>
    <s v="Shift 3"/>
    <s v="Cutter"/>
    <s v="Assembly"/>
    <n v="22"/>
    <n v="3"/>
    <s v="QuickParts"/>
    <n v="2"/>
  </r>
  <r>
    <s v="Copper Pipes"/>
    <s v="2024-03-19"/>
    <n v="828"/>
    <s v="Shift 2"/>
    <s v="Drill"/>
    <s v="Painting"/>
    <n v="8"/>
    <n v="10"/>
    <s v="Alpha Metals"/>
    <n v="1"/>
  </r>
  <r>
    <s v="Steel Bolts"/>
    <s v="2024-03-27"/>
    <n v="1284"/>
    <s v="Shift 1"/>
    <s v="Drill"/>
    <s v="Assembly"/>
    <n v="33"/>
    <n v="1"/>
    <s v="Alpha Metals"/>
    <n v="5"/>
  </r>
  <r>
    <s v="Copper Pipes"/>
    <s v="2024-09-04"/>
    <n v="1276"/>
    <s v="Shift 3"/>
    <s v="Lathe"/>
    <s v="Assembly"/>
    <n v="45"/>
    <n v="3"/>
    <s v="Alpha Metals"/>
    <n v="2"/>
  </r>
  <r>
    <s v="Copper Pipes"/>
    <s v="2024-04-12"/>
    <n v="1410"/>
    <s v="Shift 1"/>
    <s v="Cutter"/>
    <s v="Welding"/>
    <n v="13"/>
    <n v="0"/>
    <s v="Bright Supplies"/>
    <n v="0"/>
  </r>
  <r>
    <s v="Plastic Gears"/>
    <s v="2024-10-07"/>
    <n v="1942"/>
    <s v="Shift 1"/>
    <s v="Press"/>
    <s v="Assembly"/>
    <n v="3"/>
    <n v="2"/>
    <s v="QuickParts"/>
    <n v="4"/>
  </r>
  <r>
    <s v="Steel Bolts"/>
    <s v="2024-05-15"/>
    <n v="1618"/>
    <s v="Shift 2"/>
    <s v="Press"/>
    <s v="Assembly"/>
    <n v="29"/>
    <n v="9"/>
    <s v="Bright Supplies"/>
    <n v="4"/>
  </r>
  <r>
    <s v="Plastic Gears"/>
    <s v="2024-08-10"/>
    <n v="817"/>
    <s v="Shift 3"/>
    <s v="Lathe"/>
    <s v="Cutting"/>
    <n v="30"/>
    <n v="8"/>
    <s v="QuickParts"/>
    <n v="2"/>
  </r>
  <r>
    <s v="Steel Bolts"/>
    <s v="2024-12-28"/>
    <n v="735"/>
    <s v="Shift 3"/>
    <s v="Drill"/>
    <s v="Cutting"/>
    <n v="37"/>
    <n v="9"/>
    <s v="Metro Steel"/>
    <n v="4"/>
  </r>
  <r>
    <s v="Plastic Gears"/>
    <s v="2024-10-30"/>
    <n v="833"/>
    <s v="Shift 2"/>
    <s v="Lathe"/>
    <s v="Painting"/>
    <n v="10"/>
    <n v="4"/>
    <s v="Bright Supplies"/>
    <n v="1"/>
  </r>
  <r>
    <s v="Aluminum Sheets"/>
    <s v="2024-05-15"/>
    <n v="875"/>
    <s v="Shift 1"/>
    <s v="Lathe"/>
    <s v="Cutting"/>
    <n v="34"/>
    <n v="10"/>
    <s v="QuickParts"/>
    <n v="2"/>
  </r>
  <r>
    <s v="Copper Pipes"/>
    <s v="2024-06-04"/>
    <n v="1982"/>
    <s v="Shift 1"/>
    <s v="Lathe"/>
    <s v="Cutting"/>
    <n v="7"/>
    <n v="5"/>
    <s v="QuickParts"/>
    <n v="3"/>
  </r>
  <r>
    <s v="Steel Bolts"/>
    <s v="2024-02-24"/>
    <n v="1660"/>
    <s v="Shift 1"/>
    <s v="Drill"/>
    <s v="Cutting"/>
    <n v="2"/>
    <n v="2"/>
    <s v="Bright Supplies"/>
    <n v="1"/>
  </r>
  <r>
    <s v="Steel Bolts"/>
    <s v="2024-07-16"/>
    <n v="1087"/>
    <s v="Shift 1"/>
    <s v="Cutter"/>
    <s v="Cutting"/>
    <n v="13"/>
    <n v="4"/>
    <s v="Bright Supplies"/>
    <n v="1"/>
  </r>
  <r>
    <s v="Copper Pipes"/>
    <s v="2024-04-29"/>
    <n v="1012"/>
    <s v="Shift 3"/>
    <s v="Lathe"/>
    <s v="Welding"/>
    <n v="12"/>
    <n v="10"/>
    <s v="QuickParts"/>
    <n v="1"/>
  </r>
  <r>
    <s v="Steel Bolts"/>
    <s v="2024-12-04"/>
    <n v="1819"/>
    <s v="Shift 3"/>
    <s v="Drill"/>
    <s v="Cutting"/>
    <n v="44"/>
    <n v="7"/>
    <s v="Bright Supplies"/>
    <n v="3"/>
  </r>
  <r>
    <s v="Steel Bolts"/>
    <s v="2024-11-21"/>
    <n v="1843"/>
    <s v="Shift 2"/>
    <s v="Cutter"/>
    <s v="Welding"/>
    <n v="31"/>
    <n v="5"/>
    <s v="Alpha Metals"/>
    <n v="0"/>
  </r>
  <r>
    <s v="Plastic Gears"/>
    <s v="2024-01-23"/>
    <n v="1417"/>
    <s v="Shift 2"/>
    <s v="Lathe"/>
    <s v="Welding"/>
    <n v="33"/>
    <n v="3"/>
    <s v="Bright Supplies"/>
    <n v="5"/>
  </r>
  <r>
    <s v="Steel Bolts"/>
    <s v="2024-03-16"/>
    <n v="1872"/>
    <s v="Shift 3"/>
    <s v="Press"/>
    <s v="Cutting"/>
    <n v="44"/>
    <n v="1"/>
    <s v="Bright Supplies"/>
    <n v="4"/>
  </r>
  <r>
    <s v="Aluminum Sheets"/>
    <s v="2024-12-03"/>
    <n v="1372"/>
    <s v="Shift 3"/>
    <s v="Cutter"/>
    <s v="Assembly"/>
    <n v="18"/>
    <n v="8"/>
    <s v="Bright Supplies"/>
    <n v="2"/>
  </r>
  <r>
    <s v="Aluminum Sheets"/>
    <s v="2024-06-30"/>
    <n v="1752"/>
    <s v="Shift 1"/>
    <s v="Lathe"/>
    <s v="Welding"/>
    <n v="37"/>
    <n v="0"/>
    <s v="QuickParts"/>
    <n v="0"/>
  </r>
  <r>
    <s v="Copper Pipes"/>
    <s v="2024-11-24"/>
    <n v="769"/>
    <s v="Shift 1"/>
    <s v="Cutter"/>
    <s v="Assembly"/>
    <n v="15"/>
    <n v="0"/>
    <s v="Alpha Metals"/>
    <n v="2"/>
  </r>
  <r>
    <s v="Steel Bolts"/>
    <s v="2024-11-15"/>
    <n v="1297"/>
    <s v="Shift 2"/>
    <s v="Cutter"/>
    <s v="Assembly"/>
    <n v="1"/>
    <n v="3"/>
    <s v="Metro Steel"/>
    <n v="4"/>
  </r>
  <r>
    <s v="Copper Pipes"/>
    <s v="2024-09-09"/>
    <n v="1814"/>
    <s v="Shift 3"/>
    <s v="Cutter"/>
    <s v="Cutting"/>
    <n v="39"/>
    <n v="6"/>
    <s v="Metro Steel"/>
    <n v="3"/>
  </r>
  <r>
    <s v="Aluminum Sheets"/>
    <s v="2024-08-19"/>
    <n v="1224"/>
    <s v="Shift 2"/>
    <s v="Cutter"/>
    <s v="Painting"/>
    <n v="16"/>
    <n v="0"/>
    <s v="Alpha Metals"/>
    <n v="1"/>
  </r>
  <r>
    <s v="Steel Bolts"/>
    <s v="2024-03-17"/>
    <n v="1688"/>
    <s v="Shift 3"/>
    <s v="Cutter"/>
    <s v="Cutting"/>
    <n v="33"/>
    <n v="8"/>
    <s v="Alpha Metals"/>
    <n v="1"/>
  </r>
  <r>
    <s v="Steel Bolts"/>
    <s v="2024-05-19"/>
    <n v="504"/>
    <s v="Shift 1"/>
    <s v="Cutter"/>
    <s v="Painting"/>
    <n v="41"/>
    <n v="3"/>
    <s v="Alpha Metals"/>
    <n v="3"/>
  </r>
  <r>
    <s v="Copper Pipes"/>
    <s v="2024-08-10"/>
    <n v="1350"/>
    <s v="Shift 2"/>
    <s v="Lathe"/>
    <s v="Painting"/>
    <n v="15"/>
    <n v="2"/>
    <s v="QuickParts"/>
    <n v="0"/>
  </r>
  <r>
    <s v="Aluminum Sheets"/>
    <s v="2024-12-24"/>
    <n v="1902"/>
    <s v="Shift 2"/>
    <s v="Press"/>
    <s v="Cutting"/>
    <n v="37"/>
    <n v="0"/>
    <s v="Metro Steel"/>
    <n v="0"/>
  </r>
  <r>
    <s v="Steel Bolts"/>
    <s v="2024-11-01"/>
    <n v="577"/>
    <s v="Shift 3"/>
    <s v="Drill"/>
    <s v="Cutting"/>
    <n v="1"/>
    <n v="9"/>
    <s v="Alpha Metals"/>
    <n v="2"/>
  </r>
  <r>
    <s v="Copper Pipes"/>
    <s v="2024-08-29"/>
    <n v="1933"/>
    <s v="Shift 1"/>
    <s v="Cutter"/>
    <s v="Painting"/>
    <n v="1"/>
    <n v="3"/>
    <s v="QuickParts"/>
    <n v="3"/>
  </r>
  <r>
    <s v="Aluminum Sheets"/>
    <s v="2024-09-23"/>
    <n v="1073"/>
    <s v="Shift 2"/>
    <s v="Drill"/>
    <s v="Cutting"/>
    <n v="25"/>
    <n v="8"/>
    <s v="Metro Steel"/>
    <n v="0"/>
  </r>
  <r>
    <s v="Copper Pipes"/>
    <s v="2024-12-01"/>
    <n v="631"/>
    <s v="Shift 1"/>
    <s v="Lathe"/>
    <s v="Painting"/>
    <n v="12"/>
    <n v="9"/>
    <s v="Bright Supplies"/>
    <n v="3"/>
  </r>
  <r>
    <s v="Plastic Gears"/>
    <s v="2024-08-14"/>
    <n v="1100"/>
    <s v="Shift 2"/>
    <s v="Cutter"/>
    <s v="Assembly"/>
    <n v="46"/>
    <n v="5"/>
    <s v="QuickParts"/>
    <n v="4"/>
  </r>
  <r>
    <s v="Steel Bolts"/>
    <s v="2024-12-08"/>
    <n v="1565"/>
    <s v="Shift 1"/>
    <s v="Press"/>
    <s v="Cutting"/>
    <n v="30"/>
    <n v="5"/>
    <s v="Metro Steel"/>
    <n v="1"/>
  </r>
  <r>
    <s v="Plastic Gears"/>
    <s v="2024-01-02"/>
    <n v="588"/>
    <s v="Shift 3"/>
    <s v="Drill"/>
    <s v="Assembly"/>
    <n v="33"/>
    <n v="0"/>
    <s v="QuickParts"/>
    <n v="1"/>
  </r>
  <r>
    <s v="Aluminum Sheets"/>
    <s v="2024-04-24"/>
    <n v="901"/>
    <s v="Shift 2"/>
    <s v="Cutter"/>
    <s v="Welding"/>
    <n v="38"/>
    <n v="9"/>
    <s v="Metro Steel"/>
    <n v="1"/>
  </r>
  <r>
    <s v="Plastic Gears"/>
    <s v="2024-12-07"/>
    <n v="795"/>
    <s v="Shift 2"/>
    <s v="Lathe"/>
    <s v="Assembly"/>
    <n v="2"/>
    <n v="1"/>
    <s v="Metro Steel"/>
    <n v="3"/>
  </r>
  <r>
    <s v="Plastic Gears"/>
    <s v="2024-06-10"/>
    <n v="1818"/>
    <s v="Shift 1"/>
    <s v="Press"/>
    <s v="Assembly"/>
    <n v="7"/>
    <n v="10"/>
    <s v="Bright Supplies"/>
    <n v="3"/>
  </r>
  <r>
    <s v="Aluminum Sheets"/>
    <s v="2024-06-28"/>
    <n v="1115"/>
    <s v="Shift 1"/>
    <s v="Drill"/>
    <s v="Painting"/>
    <n v="22"/>
    <n v="5"/>
    <s v="QuickParts"/>
    <n v="2"/>
  </r>
  <r>
    <s v="Copper Pipes"/>
    <s v="2024-09-10"/>
    <n v="1299"/>
    <s v="Shift 2"/>
    <s v="Drill"/>
    <s v="Assembly"/>
    <n v="13"/>
    <n v="1"/>
    <s v="Alpha Metals"/>
    <n v="1"/>
  </r>
  <r>
    <s v="Plastic Gears"/>
    <s v="2024-07-22"/>
    <n v="921"/>
    <s v="Shift 3"/>
    <s v="Cutter"/>
    <s v="Cutting"/>
    <n v="26"/>
    <n v="2"/>
    <s v="Bright Supplies"/>
    <n v="2"/>
  </r>
  <r>
    <s v="Copper Pipes"/>
    <s v="2024-09-01"/>
    <n v="1546"/>
    <s v="Shift 1"/>
    <s v="Press"/>
    <s v="Painting"/>
    <n v="28"/>
    <n v="3"/>
    <s v="Bright Supplies"/>
    <n v="1"/>
  </r>
  <r>
    <s v="Plastic Gears"/>
    <s v="2024-09-14"/>
    <n v="1074"/>
    <s v="Shift 1"/>
    <s v="Press"/>
    <s v="Welding"/>
    <n v="38"/>
    <n v="10"/>
    <s v="Metro Steel"/>
    <n v="2"/>
  </r>
  <r>
    <s v="Copper Pipes"/>
    <s v="2024-02-19"/>
    <n v="642"/>
    <s v="Shift 1"/>
    <s v="Press"/>
    <s v="Cutting"/>
    <n v="38"/>
    <n v="4"/>
    <s v="Alpha Metals"/>
    <n v="2"/>
  </r>
  <r>
    <s v="Aluminum Sheets"/>
    <s v="2024-05-29"/>
    <n v="1492"/>
    <s v="Shift 2"/>
    <s v="Press"/>
    <s v="Welding"/>
    <n v="0"/>
    <n v="8"/>
    <s v="QuickParts"/>
    <n v="4"/>
  </r>
  <r>
    <s v="Plastic Gears"/>
    <s v="2024-09-04"/>
    <n v="1164"/>
    <s v="Shift 2"/>
    <s v="Lathe"/>
    <s v="Assembly"/>
    <n v="16"/>
    <n v="3"/>
    <s v="Alpha Metals"/>
    <n v="2"/>
  </r>
  <r>
    <s v="Aluminum Sheets"/>
    <s v="2024-04-08"/>
    <n v="644"/>
    <s v="Shift 2"/>
    <s v="Press"/>
    <s v="Cutting"/>
    <n v="40"/>
    <n v="10"/>
    <s v="Alpha Metals"/>
    <n v="3"/>
  </r>
  <r>
    <s v="Plastic Gears"/>
    <s v="2024-04-04"/>
    <n v="1748"/>
    <s v="Shift 2"/>
    <s v="Drill"/>
    <s v="Cutting"/>
    <n v="29"/>
    <n v="8"/>
    <s v="Alpha Metals"/>
    <n v="2"/>
  </r>
  <r>
    <s v="Aluminum Sheets"/>
    <s v="2024-03-21"/>
    <n v="1506"/>
    <s v="Shift 3"/>
    <s v="Drill"/>
    <s v="Welding"/>
    <n v="12"/>
    <n v="10"/>
    <s v="Alpha Metals"/>
    <n v="1"/>
  </r>
  <r>
    <s v="Aluminum Sheets"/>
    <s v="2024-09-21"/>
    <n v="1002"/>
    <s v="Shift 3"/>
    <s v="Lathe"/>
    <s v="Cutting"/>
    <n v="20"/>
    <n v="9"/>
    <s v="Alpha Metals"/>
    <n v="2"/>
  </r>
  <r>
    <s v="Plastic Gears"/>
    <s v="2024-08-22"/>
    <n v="1320"/>
    <s v="Shift 2"/>
    <s v="Drill"/>
    <s v="Cutting"/>
    <n v="18"/>
    <n v="2"/>
    <s v="Metro Steel"/>
    <n v="0"/>
  </r>
  <r>
    <s v="Plastic Gears"/>
    <s v="2024-12-19"/>
    <n v="603"/>
    <s v="Shift 3"/>
    <s v="Drill"/>
    <s v="Cutting"/>
    <n v="18"/>
    <n v="7"/>
    <s v="Metro Steel"/>
    <n v="5"/>
  </r>
  <r>
    <s v="Plastic Gears"/>
    <s v="2024-10-22"/>
    <n v="1562"/>
    <s v="Shift 1"/>
    <s v="Press"/>
    <s v="Assembly"/>
    <n v="24"/>
    <n v="0"/>
    <s v="Bright Supplies"/>
    <n v="1"/>
  </r>
  <r>
    <s v="Steel Bolts"/>
    <s v="2024-11-29"/>
    <n v="697"/>
    <s v="Shift 1"/>
    <s v="Drill"/>
    <s v="Welding"/>
    <n v="21"/>
    <n v="10"/>
    <s v="Metro Steel"/>
    <n v="0"/>
  </r>
  <r>
    <s v="Copper Pipes"/>
    <s v="2024-07-31"/>
    <n v="1078"/>
    <s v="Shift 1"/>
    <s v="Lathe"/>
    <s v="Cutting"/>
    <n v="30"/>
    <n v="8"/>
    <s v="Bright Supplies"/>
    <n v="1"/>
  </r>
  <r>
    <s v="Steel Bolts"/>
    <s v="2024-02-11"/>
    <n v="890"/>
    <s v="Shift 2"/>
    <s v="Press"/>
    <s v="Painting"/>
    <n v="16"/>
    <n v="8"/>
    <s v="Bright Supplies"/>
    <n v="3"/>
  </r>
  <r>
    <s v="Steel Bolts"/>
    <s v="2024-02-10"/>
    <n v="1702"/>
    <s v="Shift 1"/>
    <s v="Cutter"/>
    <s v="Painting"/>
    <n v="22"/>
    <n v="9"/>
    <s v="QuickParts"/>
    <n v="5"/>
  </r>
  <r>
    <s v="Aluminum Sheets"/>
    <s v="2024-07-12"/>
    <n v="1053"/>
    <s v="Shift 3"/>
    <s v="Press"/>
    <s v="Painting"/>
    <n v="31"/>
    <n v="1"/>
    <s v="Alpha Metals"/>
    <n v="5"/>
  </r>
  <r>
    <s v="Plastic Gears"/>
    <s v="2024-02-13"/>
    <n v="1971"/>
    <s v="Shift 2"/>
    <s v="Lathe"/>
    <s v="Painting"/>
    <n v="9"/>
    <n v="3"/>
    <s v="Metro Steel"/>
    <n v="3"/>
  </r>
  <r>
    <s v="Copper Pipes"/>
    <s v="2024-04-24"/>
    <n v="1538"/>
    <s v="Shift 3"/>
    <s v="Press"/>
    <s v="Assembly"/>
    <n v="9"/>
    <n v="7"/>
    <s v="QuickParts"/>
    <n v="5"/>
  </r>
  <r>
    <s v="Aluminum Sheets"/>
    <s v="2024-06-30"/>
    <n v="1812"/>
    <s v="Shift 1"/>
    <s v="Press"/>
    <s v="Cutting"/>
    <n v="35"/>
    <n v="6"/>
    <s v="Metro Steel"/>
    <n v="3"/>
  </r>
  <r>
    <s v="Steel Bolts"/>
    <s v="2024-06-06"/>
    <n v="977"/>
    <s v="Shift 1"/>
    <s v="Lathe"/>
    <s v="Welding"/>
    <n v="7"/>
    <n v="0"/>
    <s v="Bright Supplies"/>
    <n v="0"/>
  </r>
  <r>
    <s v="Plastic Gears"/>
    <s v="2024-11-27"/>
    <n v="1754"/>
    <s v="Shift 1"/>
    <s v="Press"/>
    <s v="Cutting"/>
    <n v="19"/>
    <n v="4"/>
    <s v="Metro Steel"/>
    <n v="4"/>
  </r>
  <r>
    <s v="Aluminum Sheets"/>
    <s v="2024-12-04"/>
    <n v="1422"/>
    <s v="Shift 2"/>
    <s v="Lathe"/>
    <s v="Assembly"/>
    <n v="31"/>
    <n v="6"/>
    <s v="Alpha Metals"/>
    <n v="1"/>
  </r>
  <r>
    <s v="Plastic Gears"/>
    <s v="2024-02-15"/>
    <n v="919"/>
    <s v="Shift 3"/>
    <s v="Lathe"/>
    <s v="Painting"/>
    <n v="49"/>
    <n v="3"/>
    <s v="Bright Supplies"/>
    <n v="3"/>
  </r>
  <r>
    <s v="Aluminum Sheets"/>
    <s v="2024-11-14"/>
    <n v="656"/>
    <s v="Shift 2"/>
    <s v="Cutter"/>
    <s v="Assembly"/>
    <n v="13"/>
    <n v="0"/>
    <s v="Bright Supplies"/>
    <n v="1"/>
  </r>
  <r>
    <s v="Plastic Gears"/>
    <s v="2024-11-20"/>
    <n v="1049"/>
    <s v="Shift 2"/>
    <s v="Drill"/>
    <s v="Cutting"/>
    <n v="49"/>
    <n v="8"/>
    <s v="QuickParts"/>
    <n v="0"/>
  </r>
  <r>
    <s v="Steel Bolts"/>
    <s v="2024-02-24"/>
    <n v="1964"/>
    <s v="Shift 1"/>
    <s v="Drill"/>
    <s v="Welding"/>
    <n v="27"/>
    <n v="4"/>
    <s v="Alpha Metals"/>
    <n v="4"/>
  </r>
  <r>
    <s v="Copper Pipes"/>
    <s v="2024-06-04"/>
    <n v="1620"/>
    <s v="Shift 2"/>
    <s v="Press"/>
    <s v="Assembly"/>
    <n v="45"/>
    <n v="10"/>
    <s v="Bright Supplies"/>
    <n v="0"/>
  </r>
  <r>
    <s v="Steel Bolts"/>
    <s v="2024-11-12"/>
    <n v="1520"/>
    <s v="Shift 2"/>
    <s v="Press"/>
    <s v="Welding"/>
    <n v="23"/>
    <n v="1"/>
    <s v="Alpha Metals"/>
    <n v="5"/>
  </r>
  <r>
    <s v="Copper Pipes"/>
    <s v="2024-05-29"/>
    <n v="1496"/>
    <s v="Shift 1"/>
    <s v="Cutter"/>
    <s v="Assembly"/>
    <n v="14"/>
    <n v="7"/>
    <s v="Metro Steel"/>
    <n v="1"/>
  </r>
  <r>
    <s v="Plastic Gears"/>
    <s v="2024-08-20"/>
    <n v="1934"/>
    <s v="Shift 2"/>
    <s v="Cutter"/>
    <s v="Welding"/>
    <n v="21"/>
    <n v="10"/>
    <s v="Alpha Metals"/>
    <n v="4"/>
  </r>
  <r>
    <s v="Aluminum Sheets"/>
    <s v="2024-06-29"/>
    <n v="1450"/>
    <s v="Shift 1"/>
    <s v="Cutter"/>
    <s v="Welding"/>
    <n v="29"/>
    <n v="1"/>
    <s v="Bright Supplies"/>
    <n v="5"/>
  </r>
  <r>
    <s v="Steel Bolts"/>
    <s v="2024-01-02"/>
    <n v="788"/>
    <s v="Shift 1"/>
    <s v="Lathe"/>
    <s v="Painting"/>
    <n v="3"/>
    <n v="2"/>
    <s v="QuickParts"/>
    <n v="4"/>
  </r>
  <r>
    <s v="Copper Pipes"/>
    <s v="2024-01-28"/>
    <n v="1777"/>
    <s v="Shift 1"/>
    <s v="Cutter"/>
    <s v="Welding"/>
    <n v="12"/>
    <n v="9"/>
    <s v="Bright Supplies"/>
    <n v="5"/>
  </r>
  <r>
    <s v="Steel Bolts"/>
    <s v="2024-06-16"/>
    <n v="695"/>
    <s v="Shift 1"/>
    <s v="Cutter"/>
    <s v="Painting"/>
    <n v="22"/>
    <n v="0"/>
    <s v="Alpha Metals"/>
    <n v="0"/>
  </r>
  <r>
    <s v="Copper Pipes"/>
    <s v="2024-09-21"/>
    <n v="1097"/>
    <s v="Shift 2"/>
    <s v="Press"/>
    <s v="Cutting"/>
    <n v="7"/>
    <n v="10"/>
    <s v="Alpha Metals"/>
    <n v="3"/>
  </r>
  <r>
    <s v="Steel Bolts"/>
    <s v="2024-01-14"/>
    <n v="1016"/>
    <s v="Shift 1"/>
    <s v="Cutter"/>
    <s v="Cutting"/>
    <n v="17"/>
    <n v="1"/>
    <s v="Bright Supplies"/>
    <n v="1"/>
  </r>
  <r>
    <s v="Copper Pipes"/>
    <s v="2024-05-03"/>
    <n v="1364"/>
    <s v="Shift 1"/>
    <s v="Lathe"/>
    <s v="Painting"/>
    <n v="11"/>
    <n v="6"/>
    <s v="Alpha Metals"/>
    <n v="2"/>
  </r>
  <r>
    <s v="Copper Pipes"/>
    <s v="2024-08-20"/>
    <n v="1641"/>
    <s v="Shift 2"/>
    <s v="Lathe"/>
    <s v="Painting"/>
    <n v="30"/>
    <n v="9"/>
    <s v="Metro Steel"/>
    <n v="2"/>
  </r>
  <r>
    <s v="Plastic Gears"/>
    <s v="2024-12-09"/>
    <n v="1305"/>
    <s v="Shift 2"/>
    <s v="Press"/>
    <s v="Assembly"/>
    <n v="13"/>
    <n v="1"/>
    <s v="Bright Supplies"/>
    <n v="0"/>
  </r>
  <r>
    <s v="Copper Pipes"/>
    <s v="2024-10-14"/>
    <n v="1682"/>
    <s v="Shift 3"/>
    <s v="Cutter"/>
    <s v="Assembly"/>
    <n v="33"/>
    <n v="5"/>
    <s v="QuickParts"/>
    <n v="1"/>
  </r>
  <r>
    <s v="Plastic Gears"/>
    <s v="2024-08-07"/>
    <n v="1314"/>
    <s v="Shift 2"/>
    <s v="Cutter"/>
    <s v="Assembly"/>
    <n v="17"/>
    <n v="2"/>
    <s v="Bright Supplies"/>
    <n v="1"/>
  </r>
  <r>
    <s v="Copper Pipes"/>
    <s v="2024-05-27"/>
    <n v="727"/>
    <s v="Shift 2"/>
    <s v="Lathe"/>
    <s v="Cutting"/>
    <n v="33"/>
    <n v="3"/>
    <s v="Metro Steel"/>
    <n v="0"/>
  </r>
  <r>
    <s v="Aluminum Sheets"/>
    <s v="2024-09-24"/>
    <n v="715"/>
    <s v="Shift 3"/>
    <s v="Cutter"/>
    <s v="Assembly"/>
    <n v="10"/>
    <n v="10"/>
    <s v="Metro Steel"/>
    <n v="1"/>
  </r>
  <r>
    <s v="Aluminum Sheets"/>
    <s v="2024-02-03"/>
    <n v="1447"/>
    <s v="Shift 2"/>
    <s v="Cutter"/>
    <s v="Welding"/>
    <n v="40"/>
    <n v="7"/>
    <s v="Metro Steel"/>
    <n v="3"/>
  </r>
  <r>
    <s v="Aluminum Sheets"/>
    <s v="2024-12-08"/>
    <n v="514"/>
    <s v="Shift 2"/>
    <s v="Cutter"/>
    <s v="Welding"/>
    <n v="11"/>
    <n v="2"/>
    <s v="Metro Steel"/>
    <n v="0"/>
  </r>
  <r>
    <s v="Copper Pipes"/>
    <s v="2024-07-13"/>
    <n v="1680"/>
    <s v="Shift 2"/>
    <s v="Drill"/>
    <s v="Assembly"/>
    <n v="48"/>
    <n v="9"/>
    <s v="Metro Steel"/>
    <n v="3"/>
  </r>
  <r>
    <s v="Plastic Gears"/>
    <s v="2024-08-23"/>
    <n v="1784"/>
    <s v="Shift 2"/>
    <s v="Press"/>
    <s v="Welding"/>
    <n v="14"/>
    <n v="5"/>
    <s v="QuickParts"/>
    <n v="1"/>
  </r>
  <r>
    <s v="Plastic Gears"/>
    <s v="2024-05-25"/>
    <n v="1680"/>
    <s v="Shift 3"/>
    <s v="Drill"/>
    <s v="Cutting"/>
    <n v="30"/>
    <n v="0"/>
    <s v="Alpha Metals"/>
    <n v="0"/>
  </r>
  <r>
    <s v="Copper Pipes"/>
    <s v="2024-04-07"/>
    <n v="546"/>
    <s v="Shift 2"/>
    <s v="Press"/>
    <s v="Welding"/>
    <n v="48"/>
    <n v="6"/>
    <s v="Metro Steel"/>
    <n v="1"/>
  </r>
  <r>
    <s v="Aluminum Sheets"/>
    <s v="2024-06-21"/>
    <n v="823"/>
    <s v="Shift 2"/>
    <s v="Lathe"/>
    <s v="Cutting"/>
    <n v="28"/>
    <n v="7"/>
    <s v="Metro Steel"/>
    <n v="0"/>
  </r>
  <r>
    <s v="Aluminum Sheets"/>
    <s v="2024-10-31"/>
    <n v="1343"/>
    <s v="Shift 3"/>
    <s v="Cutter"/>
    <s v="Painting"/>
    <n v="25"/>
    <n v="10"/>
    <s v="Bright Supplies"/>
    <n v="1"/>
  </r>
  <r>
    <s v="Plastic Gears"/>
    <s v="2024-07-30"/>
    <n v="629"/>
    <s v="Shift 1"/>
    <s v="Press"/>
    <s v="Painting"/>
    <n v="17"/>
    <n v="7"/>
    <s v="QuickParts"/>
    <n v="3"/>
  </r>
  <r>
    <s v="Aluminum Sheets"/>
    <s v="2024-05-11"/>
    <n v="1934"/>
    <s v="Shift 3"/>
    <s v="Drill"/>
    <s v="Painting"/>
    <n v="31"/>
    <n v="2"/>
    <s v="QuickParts"/>
    <n v="3"/>
  </r>
  <r>
    <s v="Steel Bolts"/>
    <s v="2024-06-12"/>
    <n v="594"/>
    <s v="Shift 1"/>
    <s v="Cutter"/>
    <s v="Painting"/>
    <n v="21"/>
    <n v="9"/>
    <s v="Alpha Metals"/>
    <n v="1"/>
  </r>
  <r>
    <s v="Plastic Gears"/>
    <s v="2024-02-10"/>
    <n v="1126"/>
    <s v="Shift 3"/>
    <s v="Lathe"/>
    <s v="Welding"/>
    <n v="37"/>
    <n v="0"/>
    <s v="QuickParts"/>
    <n v="0"/>
  </r>
  <r>
    <s v="Aluminum Sheets"/>
    <s v="2024-11-08"/>
    <n v="1254"/>
    <s v="Shift 3"/>
    <s v="Press"/>
    <s v="Assembly"/>
    <n v="16"/>
    <n v="8"/>
    <s v="Bright Supplies"/>
    <n v="2"/>
  </r>
  <r>
    <s v="Plastic Gears"/>
    <s v="2024-08-22"/>
    <n v="1815"/>
    <s v="Shift 2"/>
    <s v="Press"/>
    <s v="Welding"/>
    <n v="22"/>
    <n v="5"/>
    <s v="Bright Supplies"/>
    <n v="3"/>
  </r>
  <r>
    <s v="Steel Bolts"/>
    <s v="2024-03-17"/>
    <n v="1293"/>
    <s v="Shift 1"/>
    <s v="Press"/>
    <s v="Cutting"/>
    <n v="23"/>
    <n v="10"/>
    <s v="Alpha Metals"/>
    <n v="3"/>
  </r>
  <r>
    <s v="Plastic Gears"/>
    <s v="2024-08-23"/>
    <n v="1806"/>
    <s v="Shift 2"/>
    <s v="Cutter"/>
    <s v="Welding"/>
    <n v="49"/>
    <n v="8"/>
    <s v="Bright Supplies"/>
    <n v="5"/>
  </r>
  <r>
    <s v="Plastic Gears"/>
    <s v="2024-08-08"/>
    <n v="568"/>
    <s v="Shift 1"/>
    <s v="Drill"/>
    <s v="Welding"/>
    <n v="7"/>
    <n v="6"/>
    <s v="Metro Steel"/>
    <n v="2"/>
  </r>
  <r>
    <s v="Plastic Gears"/>
    <s v="2024-09-01"/>
    <n v="510"/>
    <s v="Shift 3"/>
    <s v="Drill"/>
    <s v="Cutting"/>
    <n v="40"/>
    <n v="0"/>
    <s v="Metro Steel"/>
    <n v="1"/>
  </r>
  <r>
    <s v="Plastic Gears"/>
    <s v="2024-10-31"/>
    <n v="1777"/>
    <s v="Shift 3"/>
    <s v="Press"/>
    <s v="Painting"/>
    <n v="5"/>
    <n v="0"/>
    <s v="Bright Supplies"/>
    <n v="0"/>
  </r>
  <r>
    <s v="Steel Bolts"/>
    <s v="2024-07-17"/>
    <n v="1371"/>
    <s v="Shift 1"/>
    <s v="Lathe"/>
    <s v="Painting"/>
    <n v="4"/>
    <n v="5"/>
    <s v="Alpha Metals"/>
    <n v="5"/>
  </r>
  <r>
    <s v="Copper Pipes"/>
    <s v="2024-10-09"/>
    <n v="1049"/>
    <s v="Shift 2"/>
    <s v="Lathe"/>
    <s v="Painting"/>
    <n v="43"/>
    <n v="4"/>
    <s v="QuickParts"/>
    <n v="1"/>
  </r>
  <r>
    <s v="Plastic Gears"/>
    <s v="2024-09-29"/>
    <n v="1657"/>
    <s v="Shift 2"/>
    <s v="Drill"/>
    <s v="Assembly"/>
    <n v="28"/>
    <n v="8"/>
    <s v="Alpha Metals"/>
    <n v="4"/>
  </r>
  <r>
    <s v="Plastic Gears"/>
    <s v="2024-06-29"/>
    <n v="1211"/>
    <s v="Shift 2"/>
    <s v="Lathe"/>
    <s v="Cutting"/>
    <n v="27"/>
    <n v="1"/>
    <s v="QuickParts"/>
    <n v="3"/>
  </r>
  <r>
    <s v="Aluminum Sheets"/>
    <s v="2024-12-10"/>
    <n v="522"/>
    <s v="Shift 2"/>
    <s v="Drill"/>
    <s v="Cutting"/>
    <n v="10"/>
    <n v="7"/>
    <s v="Bright Supplies"/>
    <n v="4"/>
  </r>
  <r>
    <s v="Plastic Gears"/>
    <s v="2024-06-19"/>
    <n v="1314"/>
    <s v="Shift 3"/>
    <s v="Press"/>
    <s v="Welding"/>
    <n v="0"/>
    <n v="10"/>
    <s v="Bright Supplies"/>
    <n v="3"/>
  </r>
  <r>
    <s v="Aluminum Sheets"/>
    <s v="2024-02-02"/>
    <n v="845"/>
    <s v="Shift 3"/>
    <s v="Drill"/>
    <s v="Assembly"/>
    <n v="42"/>
    <n v="4"/>
    <s v="Metro Steel"/>
    <n v="3"/>
  </r>
  <r>
    <s v="Copper Pipes"/>
    <s v="2024-11-13"/>
    <n v="801"/>
    <s v="Shift 3"/>
    <s v="Drill"/>
    <s v="Painting"/>
    <n v="18"/>
    <n v="1"/>
    <s v="QuickParts"/>
    <n v="4"/>
  </r>
  <r>
    <s v="Steel Bolts"/>
    <s v="2024-01-15"/>
    <n v="862"/>
    <s v="Shift 3"/>
    <s v="Press"/>
    <s v="Assembly"/>
    <n v="8"/>
    <n v="9"/>
    <s v="Alpha Metals"/>
    <n v="4"/>
  </r>
  <r>
    <s v="Steel Bolts"/>
    <s v="2024-03-08"/>
    <n v="895"/>
    <s v="Shift 3"/>
    <s v="Lathe"/>
    <s v="Cutting"/>
    <n v="26"/>
    <n v="10"/>
    <s v="Bright Supplies"/>
    <n v="1"/>
  </r>
  <r>
    <s v="Copper Pipes"/>
    <s v="2024-04-17"/>
    <n v="717"/>
    <s v="Shift 2"/>
    <s v="Drill"/>
    <s v="Cutting"/>
    <n v="33"/>
    <n v="10"/>
    <s v="Alpha Metals"/>
    <n v="5"/>
  </r>
  <r>
    <s v="Steel Bolts"/>
    <s v="2024-07-09"/>
    <n v="640"/>
    <s v="Shift 2"/>
    <s v="Drill"/>
    <s v="Welding"/>
    <n v="43"/>
    <n v="5"/>
    <s v="Metro Steel"/>
    <n v="5"/>
  </r>
  <r>
    <s v="Copper Pipes"/>
    <s v="2024-06-04"/>
    <n v="1457"/>
    <s v="Shift 2"/>
    <s v="Press"/>
    <s v="Welding"/>
    <n v="3"/>
    <n v="9"/>
    <s v="QuickParts"/>
    <n v="4"/>
  </r>
  <r>
    <s v="Copper Pipes"/>
    <s v="2024-05-01"/>
    <n v="1733"/>
    <s v="Shift 2"/>
    <s v="Lathe"/>
    <s v="Cutting"/>
    <n v="35"/>
    <n v="7"/>
    <s v="QuickParts"/>
    <n v="1"/>
  </r>
  <r>
    <s v="Copper Pipes"/>
    <s v="2024-09-26"/>
    <n v="1484"/>
    <s v="Shift 3"/>
    <s v="Drill"/>
    <s v="Painting"/>
    <n v="17"/>
    <n v="3"/>
    <s v="Bright Supplies"/>
    <n v="5"/>
  </r>
  <r>
    <s v="Steel Bolts"/>
    <s v="2024-03-23"/>
    <n v="1492"/>
    <s v="Shift 3"/>
    <s v="Press"/>
    <s v="Painting"/>
    <n v="14"/>
    <n v="1"/>
    <s v="QuickParts"/>
    <n v="1"/>
  </r>
  <r>
    <s v="Aluminum Sheets"/>
    <s v="2024-12-23"/>
    <n v="1327"/>
    <s v="Shift 3"/>
    <s v="Drill"/>
    <s v="Assembly"/>
    <n v="50"/>
    <n v="10"/>
    <s v="Bright Supplies"/>
    <n v="1"/>
  </r>
  <r>
    <s v="Copper Pipes"/>
    <s v="2024-03-26"/>
    <n v="1182"/>
    <s v="Shift 1"/>
    <s v="Cutter"/>
    <s v="Cutting"/>
    <n v="12"/>
    <n v="4"/>
    <s v="Metro Steel"/>
    <n v="3"/>
  </r>
  <r>
    <s v="Plastic Gears"/>
    <s v="2024-02-29"/>
    <n v="1983"/>
    <s v="Shift 2"/>
    <s v="Press"/>
    <s v="Cutting"/>
    <n v="18"/>
    <n v="1"/>
    <s v="QuickParts"/>
    <n v="5"/>
  </r>
  <r>
    <s v="Steel Bolts"/>
    <s v="2024-06-10"/>
    <n v="1503"/>
    <s v="Shift 2"/>
    <s v="Lathe"/>
    <s v="Painting"/>
    <n v="48"/>
    <n v="1"/>
    <s v="Bright Supplies"/>
    <n v="5"/>
  </r>
  <r>
    <s v="Copper Pipes"/>
    <s v="2024-11-05"/>
    <n v="855"/>
    <s v="Shift 3"/>
    <s v="Lathe"/>
    <s v="Painting"/>
    <n v="5"/>
    <n v="5"/>
    <s v="Alpha Metals"/>
    <n v="3"/>
  </r>
  <r>
    <s v="Copper Pipes"/>
    <s v="2024-08-09"/>
    <n v="1507"/>
    <s v="Shift 2"/>
    <s v="Lathe"/>
    <s v="Cutting"/>
    <n v="47"/>
    <n v="10"/>
    <s v="Bright Supplies"/>
    <n v="4"/>
  </r>
  <r>
    <s v="Plastic Gears"/>
    <s v="2024-12-19"/>
    <n v="1847"/>
    <s v="Shift 2"/>
    <s v="Lathe"/>
    <s v="Welding"/>
    <n v="11"/>
    <n v="9"/>
    <s v="QuickParts"/>
    <n v="3"/>
  </r>
  <r>
    <s v="Aluminum Sheets"/>
    <s v="2024-08-02"/>
    <n v="1656"/>
    <s v="Shift 3"/>
    <s v="Drill"/>
    <s v="Cutting"/>
    <n v="50"/>
    <n v="8"/>
    <s v="Metro Steel"/>
    <n v="5"/>
  </r>
  <r>
    <s v="Aluminum Sheets"/>
    <s v="2024-06-21"/>
    <n v="1387"/>
    <s v="Shift 1"/>
    <s v="Drill"/>
    <s v="Cutting"/>
    <n v="36"/>
    <n v="3"/>
    <s v="QuickParts"/>
    <n v="5"/>
  </r>
  <r>
    <s v="Aluminum Sheets"/>
    <s v="2024-11-14"/>
    <n v="626"/>
    <s v="Shift 1"/>
    <s v="Lathe"/>
    <s v="Painting"/>
    <n v="16"/>
    <n v="5"/>
    <s v="QuickParts"/>
    <n v="4"/>
  </r>
  <r>
    <s v="Copper Pipes"/>
    <s v="2024-07-07"/>
    <n v="1629"/>
    <s v="Shift 1"/>
    <s v="Lathe"/>
    <s v="Painting"/>
    <n v="22"/>
    <n v="6"/>
    <s v="Bright Supplies"/>
    <n v="3"/>
  </r>
  <r>
    <s v="Copper Pipes"/>
    <s v="2024-04-26"/>
    <n v="1508"/>
    <s v="Shift 3"/>
    <s v="Lathe"/>
    <s v="Welding"/>
    <n v="25"/>
    <n v="10"/>
    <s v="Alpha Metals"/>
    <n v="0"/>
  </r>
  <r>
    <s v="Copper Pipes"/>
    <s v="2024-03-06"/>
    <n v="1103"/>
    <s v="Shift 2"/>
    <s v="Drill"/>
    <s v="Welding"/>
    <n v="28"/>
    <n v="5"/>
    <s v="QuickParts"/>
    <n v="0"/>
  </r>
  <r>
    <s v="Steel Bolts"/>
    <s v="2024-10-01"/>
    <n v="1901"/>
    <s v="Shift 3"/>
    <s v="Lathe"/>
    <s v="Assembly"/>
    <n v="32"/>
    <n v="7"/>
    <s v="Alpha Metals"/>
    <n v="4"/>
  </r>
  <r>
    <s v="Plastic Gears"/>
    <s v="2024-07-04"/>
    <n v="1513"/>
    <s v="Shift 3"/>
    <s v="Lathe"/>
    <s v="Cutting"/>
    <n v="26"/>
    <n v="3"/>
    <s v="Bright Supplies"/>
    <n v="3"/>
  </r>
  <r>
    <s v="Copper Pipes"/>
    <s v="2024-10-30"/>
    <n v="550"/>
    <s v="Shift 2"/>
    <s v="Cutter"/>
    <s v="Painting"/>
    <n v="24"/>
    <n v="0"/>
    <s v="Alpha Metals"/>
    <n v="3"/>
  </r>
  <r>
    <s v="Plastic Gears"/>
    <s v="2024-03-10"/>
    <n v="1552"/>
    <s v="Shift 1"/>
    <s v="Cutter"/>
    <s v="Welding"/>
    <n v="9"/>
    <n v="6"/>
    <s v="Bright Supplies"/>
    <n v="1"/>
  </r>
  <r>
    <s v="Plastic Gears"/>
    <s v="2024-02-26"/>
    <n v="1985"/>
    <s v="Shift 1"/>
    <s v="Lathe"/>
    <s v="Assembly"/>
    <n v="46"/>
    <n v="2"/>
    <s v="Metro Steel"/>
    <n v="5"/>
  </r>
  <r>
    <s v="Aluminum Sheets"/>
    <s v="2024-05-02"/>
    <n v="1819"/>
    <s v="Shift 3"/>
    <s v="Press"/>
    <s v="Assembly"/>
    <n v="22"/>
    <n v="5"/>
    <s v="Alpha Metals"/>
    <n v="2"/>
  </r>
  <r>
    <s v="Steel Bolts"/>
    <s v="2024-10-11"/>
    <n v="1820"/>
    <s v="Shift 1"/>
    <s v="Lathe"/>
    <s v="Painting"/>
    <n v="20"/>
    <n v="1"/>
    <s v="Alpha Metals"/>
    <n v="4"/>
  </r>
  <r>
    <s v="Copper Pipes"/>
    <s v="2024-10-12"/>
    <n v="1278"/>
    <s v="Shift 3"/>
    <s v="Cutter"/>
    <s v="Painting"/>
    <n v="20"/>
    <n v="8"/>
    <s v="Metro Steel"/>
    <n v="2"/>
  </r>
  <r>
    <s v="Aluminum Sheets"/>
    <s v="2024-10-28"/>
    <n v="1930"/>
    <s v="Shift 3"/>
    <s v="Press"/>
    <s v="Assembly"/>
    <n v="42"/>
    <n v="0"/>
    <s v="Alpha Metals"/>
    <n v="2"/>
  </r>
  <r>
    <s v="Aluminum Sheets"/>
    <s v="2024-06-14"/>
    <n v="1313"/>
    <s v="Shift 2"/>
    <s v="Press"/>
    <s v="Welding"/>
    <n v="12"/>
    <n v="5"/>
    <s v="Metro Steel"/>
    <n v="4"/>
  </r>
  <r>
    <s v="Copper Pipes"/>
    <s v="2024-09-17"/>
    <n v="1928"/>
    <s v="Shift 2"/>
    <s v="Lathe"/>
    <s v="Assembly"/>
    <n v="36"/>
    <n v="5"/>
    <s v="QuickParts"/>
    <n v="3"/>
  </r>
  <r>
    <s v="Plastic Gears"/>
    <s v="2024-05-21"/>
    <n v="1869"/>
    <s v="Shift 2"/>
    <s v="Cutter"/>
    <s v="Cutting"/>
    <n v="32"/>
    <n v="4"/>
    <s v="Bright Supplies"/>
    <n v="4"/>
  </r>
  <r>
    <s v="Aluminum Sheets"/>
    <s v="2024-08-08"/>
    <n v="919"/>
    <s v="Shift 3"/>
    <s v="Cutter"/>
    <s v="Cutting"/>
    <n v="23"/>
    <n v="4"/>
    <s v="Metro Steel"/>
    <n v="2"/>
  </r>
  <r>
    <s v="Plastic Gears"/>
    <s v="2024-08-31"/>
    <n v="1705"/>
    <s v="Shift 2"/>
    <s v="Press"/>
    <s v="Painting"/>
    <n v="43"/>
    <n v="0"/>
    <s v="Alpha Metals"/>
    <n v="5"/>
  </r>
  <r>
    <s v="Steel Bolts"/>
    <s v="2024-06-24"/>
    <n v="1482"/>
    <s v="Shift 1"/>
    <s v="Lathe"/>
    <s v="Welding"/>
    <n v="10"/>
    <n v="9"/>
    <s v="Metro Steel"/>
    <n v="5"/>
  </r>
  <r>
    <s v="Plastic Gears"/>
    <s v="2024-01-11"/>
    <n v="1324"/>
    <s v="Shift 1"/>
    <s v="Drill"/>
    <s v="Welding"/>
    <n v="16"/>
    <n v="4"/>
    <s v="Alpha Metals"/>
    <n v="5"/>
  </r>
  <r>
    <s v="Steel Bolts"/>
    <s v="2024-03-31"/>
    <n v="1524"/>
    <s v="Shift 3"/>
    <s v="Drill"/>
    <s v="Cutting"/>
    <n v="3"/>
    <n v="1"/>
    <s v="QuickParts"/>
    <n v="3"/>
  </r>
  <r>
    <s v="Plastic Gears"/>
    <s v="2024-11-17"/>
    <n v="1066"/>
    <s v="Shift 3"/>
    <s v="Cutter"/>
    <s v="Assembly"/>
    <n v="46"/>
    <n v="6"/>
    <s v="Metro Steel"/>
    <n v="0"/>
  </r>
  <r>
    <s v="Aluminum Sheets"/>
    <s v="2024-11-27"/>
    <n v="870"/>
    <s v="Shift 2"/>
    <s v="Drill"/>
    <s v="Painting"/>
    <n v="24"/>
    <n v="2"/>
    <s v="QuickParts"/>
    <n v="4"/>
  </r>
  <r>
    <s v="Aluminum Sheets"/>
    <s v="2024-07-24"/>
    <n v="1435"/>
    <s v="Shift 3"/>
    <s v="Cutter"/>
    <s v="Assembly"/>
    <n v="29"/>
    <n v="3"/>
    <s v="Bright Supplies"/>
    <n v="5"/>
  </r>
  <r>
    <s v="Steel Bolts"/>
    <s v="2024-08-20"/>
    <n v="1160"/>
    <s v="Shift 3"/>
    <s v="Cutter"/>
    <s v="Assembly"/>
    <n v="8"/>
    <n v="2"/>
    <s v="Alpha Metals"/>
    <n v="4"/>
  </r>
  <r>
    <s v="Copper Pipes"/>
    <s v="2024-05-06"/>
    <n v="1954"/>
    <s v="Shift 1"/>
    <s v="Cutter"/>
    <s v="Assembly"/>
    <n v="20"/>
    <n v="2"/>
    <s v="Alpha Metals"/>
    <n v="5"/>
  </r>
  <r>
    <s v="Steel Bolts"/>
    <s v="2024-02-22"/>
    <n v="1468"/>
    <s v="Shift 1"/>
    <s v="Drill"/>
    <s v="Welding"/>
    <n v="19"/>
    <n v="3"/>
    <s v="QuickParts"/>
    <n v="3"/>
  </r>
  <r>
    <s v="Steel Bolts"/>
    <s v="2024-12-25"/>
    <n v="1832"/>
    <s v="Shift 2"/>
    <s v="Cutter"/>
    <s v="Cutting"/>
    <n v="18"/>
    <n v="4"/>
    <s v="Bright Supplies"/>
    <n v="0"/>
  </r>
  <r>
    <s v="Plastic Gears"/>
    <s v="2024-02-28"/>
    <n v="1660"/>
    <s v="Shift 3"/>
    <s v="Press"/>
    <s v="Welding"/>
    <n v="18"/>
    <n v="0"/>
    <s v="Metro Steel"/>
    <n v="0"/>
  </r>
  <r>
    <s v="Plastic Gears"/>
    <s v="2024-12-06"/>
    <n v="701"/>
    <s v="Shift 3"/>
    <s v="Lathe"/>
    <s v="Cutting"/>
    <n v="11"/>
    <n v="3"/>
    <s v="Metro Steel"/>
    <n v="5"/>
  </r>
  <r>
    <s v="Steel Bolts"/>
    <s v="2024-06-30"/>
    <n v="1959"/>
    <s v="Shift 1"/>
    <s v="Lathe"/>
    <s v="Painting"/>
    <n v="36"/>
    <n v="10"/>
    <s v="Alpha Metals"/>
    <n v="3"/>
  </r>
  <r>
    <s v="Aluminum Sheets"/>
    <s v="2024-02-25"/>
    <n v="812"/>
    <s v="Shift 3"/>
    <s v="Cutter"/>
    <s v="Painting"/>
    <n v="41"/>
    <n v="7"/>
    <s v="QuickParts"/>
    <n v="1"/>
  </r>
  <r>
    <s v="Plastic Gears"/>
    <s v="2024-03-18"/>
    <n v="616"/>
    <s v="Shift 1"/>
    <s v="Lathe"/>
    <s v="Assembly"/>
    <n v="16"/>
    <n v="9"/>
    <s v="QuickParts"/>
    <n v="4"/>
  </r>
  <r>
    <s v="Copper Pipes"/>
    <s v="2024-06-10"/>
    <n v="1436"/>
    <s v="Shift 2"/>
    <s v="Drill"/>
    <s v="Cutting"/>
    <n v="36"/>
    <n v="6"/>
    <s v="Metro Steel"/>
    <n v="4"/>
  </r>
  <r>
    <s v="Plastic Gears"/>
    <s v="2024-08-07"/>
    <n v="1074"/>
    <s v="Shift 1"/>
    <s v="Drill"/>
    <s v="Cutting"/>
    <n v="47"/>
    <n v="8"/>
    <s v="Bright Supplies"/>
    <n v="2"/>
  </r>
  <r>
    <s v="Plastic Gears"/>
    <s v="2024-03-22"/>
    <n v="743"/>
    <s v="Shift 3"/>
    <s v="Lathe"/>
    <s v="Cutting"/>
    <n v="38"/>
    <n v="4"/>
    <s v="Bright Supplies"/>
    <n v="3"/>
  </r>
  <r>
    <s v="Copper Pipes"/>
    <s v="2024-08-05"/>
    <n v="1036"/>
    <s v="Shift 2"/>
    <s v="Drill"/>
    <s v="Assembly"/>
    <n v="27"/>
    <n v="9"/>
    <s v="Metro Steel"/>
    <n v="2"/>
  </r>
  <r>
    <s v="Steel Bolts"/>
    <s v="2024-02-09"/>
    <n v="574"/>
    <s v="Shift 1"/>
    <s v="Lathe"/>
    <s v="Assembly"/>
    <n v="40"/>
    <n v="3"/>
    <s v="Metro Steel"/>
    <n v="5"/>
  </r>
  <r>
    <s v="Copper Pipes"/>
    <s v="2024-03-31"/>
    <n v="885"/>
    <s v="Shift 1"/>
    <s v="Lathe"/>
    <s v="Painting"/>
    <n v="34"/>
    <n v="7"/>
    <s v="QuickParts"/>
    <n v="2"/>
  </r>
  <r>
    <s v="Steel Bolts"/>
    <s v="2024-09-13"/>
    <n v="1733"/>
    <s v="Shift 2"/>
    <s v="Lathe"/>
    <s v="Welding"/>
    <n v="46"/>
    <n v="8"/>
    <s v="Bright Supplies"/>
    <n v="0"/>
  </r>
  <r>
    <s v="Steel Bolts"/>
    <s v="2024-03-18"/>
    <n v="974"/>
    <s v="Shift 2"/>
    <s v="Cutter"/>
    <s v="Cutting"/>
    <n v="47"/>
    <n v="6"/>
    <s v="Metro Steel"/>
    <n v="4"/>
  </r>
  <r>
    <s v="Steel Bolts"/>
    <s v="2024-05-17"/>
    <n v="917"/>
    <s v="Shift 1"/>
    <s v="Lathe"/>
    <s v="Cutting"/>
    <n v="17"/>
    <n v="6"/>
    <s v="Metro Steel"/>
    <n v="2"/>
  </r>
  <r>
    <s v="Copper Pipes"/>
    <s v="2024-09-26"/>
    <n v="846"/>
    <s v="Shift 3"/>
    <s v="Cutter"/>
    <s v="Welding"/>
    <n v="13"/>
    <n v="4"/>
    <s v="Alpha Metals"/>
    <n v="0"/>
  </r>
  <r>
    <s v="Steel Bolts"/>
    <s v="2024-05-17"/>
    <n v="1139"/>
    <s v="Shift 1"/>
    <s v="Lathe"/>
    <s v="Cutting"/>
    <n v="34"/>
    <n v="3"/>
    <s v="Metro Steel"/>
    <n v="3"/>
  </r>
  <r>
    <s v="Aluminum Sheets"/>
    <s v="2024-06-24"/>
    <n v="1438"/>
    <s v="Shift 2"/>
    <s v="Lathe"/>
    <s v="Assembly"/>
    <n v="43"/>
    <n v="9"/>
    <s v="Metro Steel"/>
    <n v="2"/>
  </r>
  <r>
    <s v="Copper Pipes"/>
    <s v="2024-05-06"/>
    <n v="1454"/>
    <s v="Shift 1"/>
    <s v="Lathe"/>
    <s v="Assembly"/>
    <n v="40"/>
    <n v="0"/>
    <s v="Bright Supplies"/>
    <n v="5"/>
  </r>
  <r>
    <s v="Aluminum Sheets"/>
    <s v="2024-04-27"/>
    <n v="1375"/>
    <s v="Shift 2"/>
    <s v="Drill"/>
    <s v="Cutting"/>
    <n v="6"/>
    <n v="9"/>
    <s v="QuickParts"/>
    <n v="5"/>
  </r>
  <r>
    <s v="Steel Bolts"/>
    <s v="2024-11-23"/>
    <n v="1262"/>
    <s v="Shift 2"/>
    <s v="Cutter"/>
    <s v="Assembly"/>
    <n v="40"/>
    <n v="9"/>
    <s v="Bright Supplies"/>
    <n v="5"/>
  </r>
  <r>
    <s v="Plastic Gears"/>
    <s v="2024-02-04"/>
    <n v="1702"/>
    <s v="Shift 3"/>
    <s v="Cutter"/>
    <s v="Assembly"/>
    <n v="12"/>
    <n v="6"/>
    <s v="QuickParts"/>
    <n v="4"/>
  </r>
  <r>
    <s v="Steel Bolts"/>
    <s v="2024-03-22"/>
    <n v="1705"/>
    <s v="Shift 2"/>
    <s v="Lathe"/>
    <s v="Cutting"/>
    <n v="17"/>
    <n v="0"/>
    <s v="Alpha Metals"/>
    <n v="2"/>
  </r>
  <r>
    <s v="Aluminum Sheets"/>
    <s v="2024-11-30"/>
    <n v="1163"/>
    <s v="Shift 2"/>
    <s v="Lathe"/>
    <s v="Painting"/>
    <n v="36"/>
    <n v="0"/>
    <s v="Metro Steel"/>
    <n v="3"/>
  </r>
  <r>
    <s v="Aluminum Sheets"/>
    <s v="2024-11-14"/>
    <n v="524"/>
    <s v="Shift 3"/>
    <s v="Drill"/>
    <s v="Welding"/>
    <n v="12"/>
    <n v="4"/>
    <s v="Alpha Metals"/>
    <n v="2"/>
  </r>
  <r>
    <s v="Copper Pipes"/>
    <s v="2024-11-15"/>
    <n v="1703"/>
    <s v="Shift 2"/>
    <s v="Drill"/>
    <s v="Assembly"/>
    <n v="35"/>
    <n v="8"/>
    <s v="QuickParts"/>
    <n v="4"/>
  </r>
  <r>
    <s v="Plastic Gears"/>
    <s v="2024-10-05"/>
    <n v="1209"/>
    <s v="Shift 3"/>
    <s v="Drill"/>
    <s v="Painting"/>
    <n v="30"/>
    <n v="5"/>
    <s v="Bright Supplies"/>
    <n v="0"/>
  </r>
  <r>
    <s v="Copper Pipes"/>
    <s v="2024-07-12"/>
    <n v="1684"/>
    <s v="Shift 3"/>
    <s v="Cutter"/>
    <s v="Assembly"/>
    <n v="1"/>
    <n v="2"/>
    <s v="Bright Supplies"/>
    <n v="4"/>
  </r>
  <r>
    <s v="Aluminum Sheets"/>
    <s v="2024-02-05"/>
    <n v="676"/>
    <s v="Shift 2"/>
    <s v="Cutter"/>
    <s v="Assembly"/>
    <n v="15"/>
    <n v="2"/>
    <s v="Alpha Metals"/>
    <n v="5"/>
  </r>
  <r>
    <s v="Steel Bolts"/>
    <s v="2024-12-09"/>
    <n v="784"/>
    <s v="Shift 2"/>
    <s v="Cutter"/>
    <s v="Welding"/>
    <n v="8"/>
    <n v="6"/>
    <s v="QuickParts"/>
    <n v="0"/>
  </r>
  <r>
    <s v="Plastic Gears"/>
    <s v="2024-03-25"/>
    <n v="562"/>
    <s v="Shift 1"/>
    <s v="Lathe"/>
    <s v="Assembly"/>
    <n v="8"/>
    <n v="5"/>
    <s v="Alpha Metals"/>
    <n v="5"/>
  </r>
  <r>
    <s v="Steel Bolts"/>
    <s v="2024-03-25"/>
    <n v="1502"/>
    <s v="Shift 3"/>
    <s v="Cutter"/>
    <s v="Welding"/>
    <n v="37"/>
    <n v="8"/>
    <s v="Alpha Metals"/>
    <n v="1"/>
  </r>
  <r>
    <s v="Steel Bolts"/>
    <s v="2024-05-27"/>
    <n v="1161"/>
    <s v="Shift 1"/>
    <s v="Press"/>
    <s v="Welding"/>
    <n v="10"/>
    <n v="5"/>
    <s v="Metro Steel"/>
    <n v="4"/>
  </r>
  <r>
    <s v="Plastic Gears"/>
    <s v="2024-11-11"/>
    <n v="1165"/>
    <s v="Shift 2"/>
    <s v="Press"/>
    <s v="Welding"/>
    <n v="21"/>
    <n v="4"/>
    <s v="Alpha Metals"/>
    <n v="4"/>
  </r>
  <r>
    <s v="Copper Pipes"/>
    <s v="2024-12-21"/>
    <n v="655"/>
    <s v="Shift 1"/>
    <s v="Drill"/>
    <s v="Painting"/>
    <n v="32"/>
    <n v="9"/>
    <s v="Metro Steel"/>
    <n v="3"/>
  </r>
  <r>
    <s v="Steel Bolts"/>
    <s v="2024-10-15"/>
    <n v="1992"/>
    <s v="Shift 3"/>
    <s v="Cutter"/>
    <s v="Cutting"/>
    <n v="35"/>
    <n v="6"/>
    <s v="Metro Steel"/>
    <n v="2"/>
  </r>
  <r>
    <s v="Aluminum Sheets"/>
    <s v="2024-12-09"/>
    <n v="1572"/>
    <s v="Shift 1"/>
    <s v="Press"/>
    <s v="Painting"/>
    <n v="44"/>
    <n v="0"/>
    <s v="Bright Supplies"/>
    <n v="0"/>
  </r>
  <r>
    <s v="Steel Bolts"/>
    <s v="2024-03-31"/>
    <n v="1466"/>
    <s v="Shift 3"/>
    <s v="Drill"/>
    <s v="Cutting"/>
    <n v="22"/>
    <n v="6"/>
    <s v="Metro Steel"/>
    <n v="0"/>
  </r>
  <r>
    <s v="Plastic Gears"/>
    <s v="2024-09-29"/>
    <n v="1348"/>
    <s v="Shift 2"/>
    <s v="Cutter"/>
    <s v="Cutting"/>
    <n v="44"/>
    <n v="2"/>
    <s v="Metro Steel"/>
    <n v="3"/>
  </r>
  <r>
    <s v="Plastic Gears"/>
    <s v="2024-03-07"/>
    <n v="1607"/>
    <s v="Shift 2"/>
    <s v="Lathe"/>
    <s v="Welding"/>
    <n v="44"/>
    <n v="8"/>
    <s v="Bright Supplies"/>
    <n v="3"/>
  </r>
  <r>
    <s v="Plastic Gears"/>
    <s v="2024-06-06"/>
    <n v="1884"/>
    <s v="Shift 3"/>
    <s v="Press"/>
    <s v="Assembly"/>
    <n v="33"/>
    <n v="5"/>
    <s v="Alpha Metals"/>
    <n v="2"/>
  </r>
  <r>
    <s v="Copper Pipes"/>
    <s v="2024-05-15"/>
    <n v="1188"/>
    <s v="Shift 2"/>
    <s v="Lathe"/>
    <s v="Welding"/>
    <n v="8"/>
    <n v="8"/>
    <s v="QuickParts"/>
    <n v="5"/>
  </r>
  <r>
    <s v="Steel Bolts"/>
    <s v="2024-11-24"/>
    <n v="647"/>
    <s v="Shift 2"/>
    <s v="Cutter"/>
    <s v="Assembly"/>
    <n v="23"/>
    <n v="4"/>
    <s v="QuickParts"/>
    <n v="2"/>
  </r>
  <r>
    <s v="Copper Pipes"/>
    <s v="2024-08-20"/>
    <n v="841"/>
    <s v="Shift 2"/>
    <s v="Press"/>
    <s v="Cutting"/>
    <n v="7"/>
    <n v="6"/>
    <s v="QuickParts"/>
    <n v="4"/>
  </r>
  <r>
    <s v="Copper Pipes"/>
    <s v="2024-01-12"/>
    <n v="975"/>
    <s v="Shift 2"/>
    <s v="Cutter"/>
    <s v="Welding"/>
    <n v="6"/>
    <n v="3"/>
    <s v="Alpha Metals"/>
    <n v="5"/>
  </r>
  <r>
    <s v="Plastic Gears"/>
    <s v="2024-08-23"/>
    <n v="1586"/>
    <s v="Shift 3"/>
    <s v="Lathe"/>
    <s v="Assembly"/>
    <n v="35"/>
    <n v="6"/>
    <s v="Metro Steel"/>
    <n v="1"/>
  </r>
  <r>
    <s v="Plastic Gears"/>
    <s v="2024-12-21"/>
    <n v="1883"/>
    <s v="Shift 1"/>
    <s v="Press"/>
    <s v="Painting"/>
    <n v="17"/>
    <n v="0"/>
    <s v="QuickParts"/>
    <n v="2"/>
  </r>
  <r>
    <s v="Copper Pipes"/>
    <s v="2024-01-22"/>
    <n v="1060"/>
    <s v="Shift 1"/>
    <s v="Lathe"/>
    <s v="Assembly"/>
    <n v="2"/>
    <n v="6"/>
    <s v="Alpha Metals"/>
    <n v="3"/>
  </r>
  <r>
    <s v="Steel Bolts"/>
    <s v="2024-06-13"/>
    <n v="826"/>
    <s v="Shift 2"/>
    <s v="Cutter"/>
    <s v="Welding"/>
    <n v="27"/>
    <n v="7"/>
    <s v="Metro Steel"/>
    <n v="5"/>
  </r>
  <r>
    <s v="Aluminum Sheets"/>
    <s v="2024-11-07"/>
    <n v="1664"/>
    <s v="Shift 1"/>
    <s v="Cutter"/>
    <s v="Painting"/>
    <n v="5"/>
    <n v="4"/>
    <s v="Bright Supplies"/>
    <n v="2"/>
  </r>
  <r>
    <s v="Copper Pipes"/>
    <s v="2024-02-03"/>
    <n v="1489"/>
    <s v="Shift 1"/>
    <s v="Lathe"/>
    <s v="Assembly"/>
    <n v="43"/>
    <n v="1"/>
    <s v="QuickParts"/>
    <n v="0"/>
  </r>
  <r>
    <s v="Steel Bolts"/>
    <s v="2024-02-29"/>
    <n v="714"/>
    <s v="Shift 2"/>
    <s v="Press"/>
    <s v="Assembly"/>
    <n v="43"/>
    <n v="4"/>
    <s v="Metro Steel"/>
    <n v="1"/>
  </r>
  <r>
    <s v="Plastic Gears"/>
    <s v="2024-09-01"/>
    <n v="934"/>
    <s v="Shift 2"/>
    <s v="Lathe"/>
    <s v="Assembly"/>
    <n v="20"/>
    <n v="5"/>
    <s v="QuickParts"/>
    <n v="4"/>
  </r>
  <r>
    <s v="Plastic Gears"/>
    <s v="2024-04-19"/>
    <n v="1451"/>
    <s v="Shift 1"/>
    <s v="Cutter"/>
    <s v="Assembly"/>
    <n v="27"/>
    <n v="1"/>
    <s v="QuickParts"/>
    <n v="0"/>
  </r>
  <r>
    <s v="Steel Bolts"/>
    <s v="2024-10-18"/>
    <n v="1222"/>
    <s v="Shift 3"/>
    <s v="Lathe"/>
    <s v="Assembly"/>
    <n v="39"/>
    <n v="5"/>
    <s v="QuickParts"/>
    <n v="0"/>
  </r>
  <r>
    <s v="Aluminum Sheets"/>
    <s v="2024-01-02"/>
    <n v="1841"/>
    <s v="Shift 2"/>
    <s v="Cutter"/>
    <s v="Painting"/>
    <n v="0"/>
    <n v="5"/>
    <s v="Metro Steel"/>
    <n v="1"/>
  </r>
  <r>
    <s v="Plastic Gears"/>
    <s v="2024-11-06"/>
    <n v="531"/>
    <s v="Shift 3"/>
    <s v="Lathe"/>
    <s v="Cutting"/>
    <n v="35"/>
    <n v="0"/>
    <s v="Alpha Metals"/>
    <n v="4"/>
  </r>
  <r>
    <s v="Plastic Gears"/>
    <s v="2024-02-02"/>
    <n v="1169"/>
    <s v="Shift 1"/>
    <s v="Press"/>
    <s v="Painting"/>
    <n v="20"/>
    <n v="0"/>
    <s v="Metro Steel"/>
    <n v="3"/>
  </r>
  <r>
    <s v="Plastic Gears"/>
    <s v="2024-02-12"/>
    <n v="784"/>
    <s v="Shift 2"/>
    <s v="Press"/>
    <s v="Painting"/>
    <n v="42"/>
    <n v="10"/>
    <s v="QuickParts"/>
    <n v="5"/>
  </r>
  <r>
    <s v="Steel Bolts"/>
    <s v="2024-10-09"/>
    <n v="1828"/>
    <s v="Shift 3"/>
    <s v="Lathe"/>
    <s v="Painting"/>
    <n v="34"/>
    <n v="9"/>
    <s v="Metro Steel"/>
    <n v="4"/>
  </r>
  <r>
    <s v="Copper Pipes"/>
    <s v="2024-01-24"/>
    <n v="928"/>
    <s v="Shift 2"/>
    <s v="Lathe"/>
    <s v="Cutting"/>
    <n v="12"/>
    <n v="2"/>
    <s v="Bright Supplies"/>
    <n v="2"/>
  </r>
  <r>
    <s v="Plastic Gears"/>
    <s v="2024-10-04"/>
    <n v="2000"/>
    <s v="Shift 1"/>
    <s v="Press"/>
    <s v="Welding"/>
    <n v="48"/>
    <n v="9"/>
    <s v="Alpha Metals"/>
    <n v="0"/>
  </r>
  <r>
    <s v="Copper Pipes"/>
    <s v="2024-01-30"/>
    <n v="785"/>
    <s v="Shift 3"/>
    <s v="Cutter"/>
    <s v="Cutting"/>
    <n v="9"/>
    <n v="9"/>
    <s v="Metro Steel"/>
    <n v="2"/>
  </r>
  <r>
    <s v="Aluminum Sheets"/>
    <s v="2024-01-22"/>
    <n v="1667"/>
    <s v="Shift 1"/>
    <s v="Press"/>
    <s v="Painting"/>
    <n v="43"/>
    <n v="2"/>
    <s v="Bright Supplies"/>
    <n v="3"/>
  </r>
  <r>
    <s v="Plastic Gears"/>
    <s v="2024-09-01"/>
    <n v="1947"/>
    <s v="Shift 1"/>
    <s v="Cutter"/>
    <s v="Assembly"/>
    <n v="46"/>
    <n v="3"/>
    <s v="Alpha Metals"/>
    <n v="2"/>
  </r>
  <r>
    <s v="Plastic Gears"/>
    <s v="2024-02-01"/>
    <n v="1542"/>
    <s v="Shift 2"/>
    <s v="Lathe"/>
    <s v="Assembly"/>
    <n v="9"/>
    <n v="1"/>
    <s v="Bright Supplies"/>
    <n v="4"/>
  </r>
  <r>
    <s v="Aluminum Sheets"/>
    <s v="2024-10-18"/>
    <n v="517"/>
    <s v="Shift 3"/>
    <s v="Lathe"/>
    <s v="Painting"/>
    <n v="45"/>
    <n v="8"/>
    <s v="Alpha Metals"/>
    <n v="2"/>
  </r>
  <r>
    <s v="Plastic Gears"/>
    <s v="2024-08-10"/>
    <n v="1268"/>
    <s v="Shift 1"/>
    <s v="Cutter"/>
    <s v="Assembly"/>
    <n v="12"/>
    <n v="9"/>
    <s v="Metro Steel"/>
    <n v="3"/>
  </r>
  <r>
    <s v="Copper Pipes"/>
    <s v="2024-02-11"/>
    <n v="1089"/>
    <s v="Shift 1"/>
    <s v="Lathe"/>
    <s v="Painting"/>
    <n v="36"/>
    <n v="10"/>
    <s v="Bright Supplies"/>
    <n v="3"/>
  </r>
  <r>
    <s v="Steel Bolts"/>
    <s v="2024-04-25"/>
    <n v="1894"/>
    <s v="Shift 3"/>
    <s v="Cutter"/>
    <s v="Assembly"/>
    <n v="37"/>
    <n v="6"/>
    <s v="QuickParts"/>
    <n v="3"/>
  </r>
  <r>
    <s v="Copper Pipes"/>
    <s v="2024-05-06"/>
    <n v="1698"/>
    <s v="Shift 1"/>
    <s v="Drill"/>
    <s v="Cutting"/>
    <n v="23"/>
    <n v="6"/>
    <s v="Bright Supplies"/>
    <n v="4"/>
  </r>
  <r>
    <s v="Steel Bolts"/>
    <s v="2024-03-10"/>
    <n v="1509"/>
    <s v="Shift 1"/>
    <s v="Press"/>
    <s v="Welding"/>
    <n v="1"/>
    <n v="5"/>
    <s v="Alpha Metals"/>
    <n v="3"/>
  </r>
  <r>
    <s v="Steel Bolts"/>
    <s v="2024-01-04"/>
    <n v="693"/>
    <s v="Shift 3"/>
    <s v="Drill"/>
    <s v="Welding"/>
    <n v="21"/>
    <n v="2"/>
    <s v="Metro Steel"/>
    <n v="0"/>
  </r>
  <r>
    <s v="Copper Pipes"/>
    <s v="2024-02-23"/>
    <n v="1001"/>
    <s v="Shift 3"/>
    <s v="Cutter"/>
    <s v="Cutting"/>
    <n v="16"/>
    <n v="5"/>
    <s v="Alpha Metals"/>
    <n v="3"/>
  </r>
  <r>
    <s v="Copper Pipes"/>
    <s v="2024-12-07"/>
    <n v="1487"/>
    <s v="Shift 3"/>
    <s v="Press"/>
    <s v="Cutting"/>
    <n v="35"/>
    <n v="7"/>
    <s v="Bright Supplies"/>
    <n v="2"/>
  </r>
  <r>
    <s v="Copper Pipes"/>
    <s v="2024-01-07"/>
    <n v="1636"/>
    <s v="Shift 3"/>
    <s v="Cutter"/>
    <s v="Painting"/>
    <n v="13"/>
    <n v="7"/>
    <s v="Bright Supplies"/>
    <n v="5"/>
  </r>
  <r>
    <s v="Copper Pipes"/>
    <s v="2024-07-03"/>
    <n v="613"/>
    <s v="Shift 2"/>
    <s v="Press"/>
    <s v="Painting"/>
    <n v="9"/>
    <n v="10"/>
    <s v="QuickParts"/>
    <n v="2"/>
  </r>
  <r>
    <s v="Aluminum Sheets"/>
    <s v="2024-01-05"/>
    <n v="1745"/>
    <s v="Shift 3"/>
    <s v="Press"/>
    <s v="Painting"/>
    <n v="34"/>
    <n v="8"/>
    <s v="Metro Steel"/>
    <n v="5"/>
  </r>
  <r>
    <s v="Plastic Gears"/>
    <s v="2024-03-21"/>
    <n v="1446"/>
    <s v="Shift 2"/>
    <s v="Press"/>
    <s v="Assembly"/>
    <n v="24"/>
    <n v="0"/>
    <s v="Metro Steel"/>
    <n v="2"/>
  </r>
  <r>
    <s v="Steel Bolts"/>
    <s v="2024-01-19"/>
    <n v="1330"/>
    <s v="Shift 2"/>
    <s v="Press"/>
    <s v="Painting"/>
    <n v="2"/>
    <n v="0"/>
    <s v="Bright Supplies"/>
    <n v="4"/>
  </r>
  <r>
    <s v="Copper Pipes"/>
    <s v="2024-09-20"/>
    <n v="1787"/>
    <s v="Shift 2"/>
    <s v="Cutter"/>
    <s v="Cutting"/>
    <n v="46"/>
    <n v="2"/>
    <s v="Metro Steel"/>
    <n v="2"/>
  </r>
  <r>
    <s v="Copper Pipes"/>
    <s v="2024-07-10"/>
    <n v="1424"/>
    <s v="Shift 1"/>
    <s v="Press"/>
    <s v="Welding"/>
    <n v="37"/>
    <n v="2"/>
    <s v="QuickParts"/>
    <n v="4"/>
  </r>
  <r>
    <s v="Copper Pipes"/>
    <s v="2024-07-01"/>
    <n v="554"/>
    <s v="Shift 2"/>
    <s v="Press"/>
    <s v="Assembly"/>
    <n v="16"/>
    <n v="9"/>
    <s v="Alpha Metals"/>
    <n v="4"/>
  </r>
  <r>
    <s v="Aluminum Sheets"/>
    <s v="2024-10-15"/>
    <n v="1299"/>
    <s v="Shift 2"/>
    <s v="Drill"/>
    <s v="Painting"/>
    <n v="11"/>
    <n v="7"/>
    <s v="Metro Steel"/>
    <n v="3"/>
  </r>
  <r>
    <s v="Copper Pipes"/>
    <s v="2024-05-13"/>
    <n v="1277"/>
    <s v="Shift 1"/>
    <s v="Lathe"/>
    <s v="Assembly"/>
    <n v="23"/>
    <n v="9"/>
    <s v="Bright Supplies"/>
    <n v="0"/>
  </r>
  <r>
    <s v="Copper Pipes"/>
    <s v="2024-06-25"/>
    <n v="1981"/>
    <s v="Shift 1"/>
    <s v="Lathe"/>
    <s v="Assembly"/>
    <n v="28"/>
    <n v="0"/>
    <s v="Alpha Metals"/>
    <n v="5"/>
  </r>
  <r>
    <s v="Copper Pipes"/>
    <s v="2024-08-29"/>
    <n v="661"/>
    <s v="Shift 1"/>
    <s v="Drill"/>
    <s v="Painting"/>
    <n v="42"/>
    <n v="1"/>
    <s v="Alpha Metals"/>
    <n v="3"/>
  </r>
  <r>
    <s v="Plastic Gears"/>
    <s v="2024-05-28"/>
    <n v="1903"/>
    <s v="Shift 3"/>
    <s v="Drill"/>
    <s v="Assembly"/>
    <n v="24"/>
    <n v="1"/>
    <s v="QuickParts"/>
    <n v="3"/>
  </r>
  <r>
    <s v="Aluminum Sheets"/>
    <s v="2024-03-05"/>
    <n v="586"/>
    <s v="Shift 1"/>
    <s v="Cutter"/>
    <s v="Welding"/>
    <n v="35"/>
    <n v="2"/>
    <s v="Bright Supplies"/>
    <n v="4"/>
  </r>
  <r>
    <s v="Copper Pipes"/>
    <s v="2024-03-06"/>
    <n v="554"/>
    <s v="Shift 1"/>
    <s v="Cutter"/>
    <s v="Cutting"/>
    <n v="25"/>
    <n v="5"/>
    <s v="Metro Steel"/>
    <n v="4"/>
  </r>
  <r>
    <s v="Steel Bolts"/>
    <s v="2024-05-27"/>
    <n v="1999"/>
    <s v="Shift 2"/>
    <s v="Cutter"/>
    <s v="Cutting"/>
    <n v="37"/>
    <n v="0"/>
    <s v="Bright Supplies"/>
    <n v="5"/>
  </r>
  <r>
    <s v="Steel Bolts"/>
    <s v="2024-01-12"/>
    <n v="1701"/>
    <s v="Shift 1"/>
    <s v="Drill"/>
    <s v="Welding"/>
    <n v="0"/>
    <n v="1"/>
    <s v="Alpha Metals"/>
    <n v="2"/>
  </r>
  <r>
    <s v="Steel Bolts"/>
    <s v="2024-01-11"/>
    <n v="1914"/>
    <s v="Shift 3"/>
    <s v="Drill"/>
    <s v="Assembly"/>
    <n v="19"/>
    <n v="0"/>
    <s v="Bright Supplies"/>
    <n v="2"/>
  </r>
  <r>
    <s v="Aluminum Sheets"/>
    <s v="2024-09-20"/>
    <n v="1872"/>
    <s v="Shift 1"/>
    <s v="Press"/>
    <s v="Painting"/>
    <n v="27"/>
    <n v="4"/>
    <s v="Metro Steel"/>
    <n v="3"/>
  </r>
  <r>
    <s v="Aluminum Sheets"/>
    <s v="2024-08-27"/>
    <n v="1531"/>
    <s v="Shift 3"/>
    <s v="Cutter"/>
    <s v="Assembly"/>
    <n v="15"/>
    <n v="6"/>
    <s v="Metro Steel"/>
    <n v="1"/>
  </r>
  <r>
    <s v="Steel Bolts"/>
    <s v="2024-06-23"/>
    <n v="1332"/>
    <s v="Shift 1"/>
    <s v="Cutter"/>
    <s v="Welding"/>
    <n v="46"/>
    <n v="7"/>
    <s v="QuickParts"/>
    <n v="1"/>
  </r>
  <r>
    <s v="Copper Pipes"/>
    <s v="2024-07-29"/>
    <n v="812"/>
    <s v="Shift 1"/>
    <s v="Cutter"/>
    <s v="Assembly"/>
    <n v="16"/>
    <n v="9"/>
    <s v="Metro Steel"/>
    <n v="2"/>
  </r>
  <r>
    <s v="Aluminum Sheets"/>
    <s v="2024-08-19"/>
    <n v="1258"/>
    <s v="Shift 1"/>
    <s v="Lathe"/>
    <s v="Cutting"/>
    <n v="39"/>
    <n v="0"/>
    <s v="Metro Steel"/>
    <n v="1"/>
  </r>
  <r>
    <s v="Steel Bolts"/>
    <s v="2024-03-14"/>
    <n v="942"/>
    <s v="Shift 1"/>
    <s v="Press"/>
    <s v="Assembly"/>
    <n v="27"/>
    <n v="6"/>
    <s v="Bright Supplies"/>
    <n v="2"/>
  </r>
  <r>
    <s v="Steel Bolts"/>
    <s v="2024-06-29"/>
    <n v="827"/>
    <s v="Shift 3"/>
    <s v="Cutter"/>
    <s v="Welding"/>
    <n v="11"/>
    <n v="4"/>
    <s v="Bright Supplies"/>
    <n v="4"/>
  </r>
  <r>
    <s v="Copper Pipes"/>
    <s v="2024-11-30"/>
    <n v="1577"/>
    <s v="Shift 3"/>
    <s v="Cutter"/>
    <s v="Cutting"/>
    <n v="26"/>
    <n v="9"/>
    <s v="Alpha Metals"/>
    <n v="3"/>
  </r>
  <r>
    <s v="Plastic Gears"/>
    <s v="2024-03-12"/>
    <n v="1260"/>
    <s v="Shift 2"/>
    <s v="Cutter"/>
    <s v="Assembly"/>
    <n v="41"/>
    <n v="0"/>
    <s v="QuickParts"/>
    <n v="0"/>
  </r>
  <r>
    <s v="Aluminum Sheets"/>
    <s v="2024-03-02"/>
    <n v="1762"/>
    <s v="Shift 3"/>
    <s v="Lathe"/>
    <s v="Assembly"/>
    <n v="46"/>
    <n v="2"/>
    <s v="Bright Supplies"/>
    <n v="3"/>
  </r>
  <r>
    <s v="Copper Pipes"/>
    <s v="2024-04-09"/>
    <n v="1752"/>
    <s v="Shift 1"/>
    <s v="Lathe"/>
    <s v="Cutting"/>
    <n v="29"/>
    <n v="6"/>
    <s v="Metro Steel"/>
    <n v="2"/>
  </r>
  <r>
    <s v="Steel Bolts"/>
    <s v="2024-11-18"/>
    <n v="1078"/>
    <s v="Shift 2"/>
    <s v="Drill"/>
    <s v="Painting"/>
    <n v="40"/>
    <n v="9"/>
    <s v="Alpha Metals"/>
    <n v="2"/>
  </r>
  <r>
    <s v="Steel Bolts"/>
    <s v="2024-11-23"/>
    <n v="1574"/>
    <s v="Shift 2"/>
    <s v="Press"/>
    <s v="Cutting"/>
    <n v="33"/>
    <n v="0"/>
    <s v="Bright Supplies"/>
    <n v="3"/>
  </r>
  <r>
    <s v="Copper Pipes"/>
    <s v="2024-06-24"/>
    <n v="1506"/>
    <s v="Shift 2"/>
    <s v="Drill"/>
    <s v="Painting"/>
    <n v="36"/>
    <n v="6"/>
    <s v="QuickParts"/>
    <n v="5"/>
  </r>
  <r>
    <s v="Aluminum Sheets"/>
    <s v="2024-12-01"/>
    <n v="1787"/>
    <s v="Shift 1"/>
    <s v="Press"/>
    <s v="Welding"/>
    <n v="5"/>
    <n v="4"/>
    <s v="QuickParts"/>
    <n v="2"/>
  </r>
  <r>
    <s v="Plastic Gears"/>
    <s v="2024-12-10"/>
    <n v="1941"/>
    <s v="Shift 3"/>
    <s v="Lathe"/>
    <s v="Welding"/>
    <n v="6"/>
    <n v="0"/>
    <s v="Alpha Metals"/>
    <n v="1"/>
  </r>
  <r>
    <s v="Plastic Gears"/>
    <s v="2024-09-20"/>
    <n v="595"/>
    <s v="Shift 1"/>
    <s v="Cutter"/>
    <s v="Cutting"/>
    <n v="31"/>
    <n v="0"/>
    <s v="Alpha Metals"/>
    <n v="1"/>
  </r>
  <r>
    <s v="Steel Bolts"/>
    <s v="2024-11-11"/>
    <n v="1611"/>
    <s v="Shift 2"/>
    <s v="Drill"/>
    <s v="Cutting"/>
    <n v="31"/>
    <n v="0"/>
    <s v="Alpha Metals"/>
    <n v="2"/>
  </r>
  <r>
    <s v="Aluminum Sheets"/>
    <s v="2024-08-12"/>
    <n v="1601"/>
    <s v="Shift 1"/>
    <s v="Cutter"/>
    <s v="Welding"/>
    <n v="24"/>
    <n v="10"/>
    <s v="Alpha Metals"/>
    <n v="2"/>
  </r>
  <r>
    <s v="Plastic Gears"/>
    <s v="2024-07-19"/>
    <n v="1811"/>
    <s v="Shift 1"/>
    <s v="Drill"/>
    <s v="Painting"/>
    <n v="32"/>
    <n v="8"/>
    <s v="Alpha Metals"/>
    <n v="5"/>
  </r>
  <r>
    <s v="Aluminum Sheets"/>
    <s v="2024-07-21"/>
    <n v="1643"/>
    <s v="Shift 3"/>
    <s v="Lathe"/>
    <s v="Welding"/>
    <n v="6"/>
    <n v="10"/>
    <s v="Metro Steel"/>
    <n v="1"/>
  </r>
  <r>
    <s v="Aluminum Sheets"/>
    <s v="2024-11-19"/>
    <n v="1313"/>
    <s v="Shift 3"/>
    <s v="Lathe"/>
    <s v="Cutting"/>
    <n v="11"/>
    <n v="2"/>
    <s v="Metro Steel"/>
    <n v="2"/>
  </r>
  <r>
    <s v="Steel Bolts"/>
    <s v="2024-02-21"/>
    <n v="990"/>
    <s v="Shift 2"/>
    <s v="Lathe"/>
    <s v="Welding"/>
    <n v="15"/>
    <n v="4"/>
    <s v="Bright Supplies"/>
    <n v="2"/>
  </r>
  <r>
    <s v="Plastic Gears"/>
    <s v="2024-08-25"/>
    <n v="951"/>
    <s v="Shift 1"/>
    <s v="Drill"/>
    <s v="Cutting"/>
    <n v="15"/>
    <n v="10"/>
    <s v="QuickParts"/>
    <n v="5"/>
  </r>
  <r>
    <s v="Copper Pipes"/>
    <s v="2024-10-28"/>
    <n v="664"/>
    <s v="Shift 1"/>
    <s v="Press"/>
    <s v="Cutting"/>
    <n v="42"/>
    <n v="9"/>
    <s v="Metro Steel"/>
    <n v="5"/>
  </r>
  <r>
    <s v="Steel Bolts"/>
    <s v="2024-02-12"/>
    <n v="681"/>
    <s v="Shift 3"/>
    <s v="Drill"/>
    <s v="Welding"/>
    <n v="35"/>
    <n v="8"/>
    <s v="Metro Steel"/>
    <n v="3"/>
  </r>
  <r>
    <s v="Plastic Gears"/>
    <s v="2024-09-01"/>
    <n v="968"/>
    <s v="Shift 1"/>
    <s v="Press"/>
    <s v="Painting"/>
    <n v="12"/>
    <n v="5"/>
    <s v="Metro Steel"/>
    <n v="5"/>
  </r>
  <r>
    <s v="Plastic Gears"/>
    <s v="2024-01-13"/>
    <n v="1409"/>
    <s v="Shift 1"/>
    <s v="Drill"/>
    <s v="Assembly"/>
    <n v="6"/>
    <n v="8"/>
    <s v="Bright Supplies"/>
    <n v="0"/>
  </r>
  <r>
    <s v="Plastic Gears"/>
    <s v="2024-08-10"/>
    <n v="1234"/>
    <s v="Shift 1"/>
    <s v="Drill"/>
    <s v="Welding"/>
    <n v="35"/>
    <n v="7"/>
    <s v="Alpha Metals"/>
    <n v="1"/>
  </r>
  <r>
    <s v="Plastic Gears"/>
    <s v="2024-04-26"/>
    <n v="1322"/>
    <s v="Shift 3"/>
    <s v="Lathe"/>
    <s v="Assembly"/>
    <n v="46"/>
    <n v="7"/>
    <s v="Bright Supplies"/>
    <n v="3"/>
  </r>
  <r>
    <s v="Plastic Gears"/>
    <s v="2024-07-29"/>
    <n v="1443"/>
    <s v="Shift 2"/>
    <s v="Cutter"/>
    <s v="Welding"/>
    <n v="50"/>
    <n v="0"/>
    <s v="QuickParts"/>
    <n v="0"/>
  </r>
  <r>
    <s v="Aluminum Sheets"/>
    <s v="2024-11-18"/>
    <n v="506"/>
    <s v="Shift 2"/>
    <s v="Cutter"/>
    <s v="Assembly"/>
    <n v="8"/>
    <n v="8"/>
    <s v="QuickParts"/>
    <n v="2"/>
  </r>
  <r>
    <s v="Steel Bolts"/>
    <s v="2024-12-17"/>
    <n v="829"/>
    <s v="Shift 1"/>
    <s v="Press"/>
    <s v="Painting"/>
    <n v="31"/>
    <n v="5"/>
    <s v="QuickParts"/>
    <n v="2"/>
  </r>
  <r>
    <s v="Aluminum Sheets"/>
    <s v="2024-11-27"/>
    <n v="1274"/>
    <s v="Shift 2"/>
    <s v="Cutter"/>
    <s v="Painting"/>
    <n v="10"/>
    <n v="8"/>
    <s v="QuickParts"/>
    <n v="3"/>
  </r>
  <r>
    <s v="Copper Pipes"/>
    <s v="2024-02-20"/>
    <n v="650"/>
    <s v="Shift 3"/>
    <s v="Drill"/>
    <s v="Welding"/>
    <n v="7"/>
    <n v="2"/>
    <s v="Metro Steel"/>
    <n v="5"/>
  </r>
  <r>
    <s v="Plastic Gears"/>
    <s v="2024-10-20"/>
    <n v="1608"/>
    <s v="Shift 3"/>
    <s v="Drill"/>
    <s v="Cutting"/>
    <n v="32"/>
    <n v="2"/>
    <s v="Metro Steel"/>
    <n v="2"/>
  </r>
  <r>
    <s v="Steel Bolts"/>
    <s v="2024-02-28"/>
    <n v="646"/>
    <s v="Shift 2"/>
    <s v="Lathe"/>
    <s v="Assembly"/>
    <n v="22"/>
    <n v="5"/>
    <s v="Bright Supplies"/>
    <n v="4"/>
  </r>
  <r>
    <s v="Plastic Gears"/>
    <s v="2024-07-07"/>
    <n v="1904"/>
    <s v="Shift 2"/>
    <s v="Lathe"/>
    <s v="Cutting"/>
    <n v="24"/>
    <n v="8"/>
    <s v="Alpha Metals"/>
    <n v="3"/>
  </r>
  <r>
    <s v="Steel Bolts"/>
    <s v="2024-05-08"/>
    <n v="1414"/>
    <s v="Shift 1"/>
    <s v="Cutter"/>
    <s v="Cutting"/>
    <n v="7"/>
    <n v="6"/>
    <s v="QuickParts"/>
    <n v="0"/>
  </r>
  <r>
    <s v="Aluminum Sheets"/>
    <s v="2024-02-05"/>
    <n v="1808"/>
    <s v="Shift 2"/>
    <s v="Press"/>
    <s v="Cutting"/>
    <n v="44"/>
    <n v="2"/>
    <s v="Bright Supplies"/>
    <n v="3"/>
  </r>
  <r>
    <s v="Steel Bolts"/>
    <s v="2024-07-12"/>
    <n v="1199"/>
    <s v="Shift 1"/>
    <s v="Cutter"/>
    <s v="Painting"/>
    <n v="21"/>
    <n v="2"/>
    <s v="Metro Steel"/>
    <n v="1"/>
  </r>
  <r>
    <s v="Copper Pipes"/>
    <s v="2024-01-08"/>
    <n v="581"/>
    <s v="Shift 1"/>
    <s v="Cutter"/>
    <s v="Welding"/>
    <n v="3"/>
    <n v="1"/>
    <s v="Metro Steel"/>
    <n v="5"/>
  </r>
  <r>
    <s v="Copper Pipes"/>
    <s v="2024-11-25"/>
    <n v="1013"/>
    <s v="Shift 3"/>
    <s v="Cutter"/>
    <s v="Welding"/>
    <n v="39"/>
    <n v="8"/>
    <s v="Alpha Metals"/>
    <n v="5"/>
  </r>
  <r>
    <s v="Steel Bolts"/>
    <s v="2024-01-26"/>
    <n v="1314"/>
    <s v="Shift 3"/>
    <s v="Cutter"/>
    <s v="Painting"/>
    <n v="2"/>
    <n v="2"/>
    <s v="Alpha Metals"/>
    <n v="3"/>
  </r>
  <r>
    <s v="Steel Bolts"/>
    <s v="2024-07-18"/>
    <n v="1208"/>
    <s v="Shift 3"/>
    <s v="Drill"/>
    <s v="Painting"/>
    <n v="28"/>
    <n v="10"/>
    <s v="Alpha Metals"/>
    <n v="2"/>
  </r>
  <r>
    <s v="Steel Bolts"/>
    <s v="2024-03-31"/>
    <n v="1245"/>
    <s v="Shift 3"/>
    <s v="Press"/>
    <s v="Welding"/>
    <n v="40"/>
    <n v="4"/>
    <s v="Bright Supplies"/>
    <n v="2"/>
  </r>
  <r>
    <s v="Steel Bolts"/>
    <s v="2024-01-17"/>
    <n v="1522"/>
    <s v="Shift 2"/>
    <s v="Drill"/>
    <s v="Cutting"/>
    <n v="28"/>
    <n v="8"/>
    <s v="Metro Steel"/>
    <n v="4"/>
  </r>
  <r>
    <s v="Copper Pipes"/>
    <s v="2024-03-04"/>
    <n v="1909"/>
    <s v="Shift 3"/>
    <s v="Press"/>
    <s v="Assembly"/>
    <n v="33"/>
    <n v="7"/>
    <s v="Metro Steel"/>
    <n v="4"/>
  </r>
  <r>
    <s v="Plastic Gears"/>
    <s v="2024-09-03"/>
    <n v="1206"/>
    <s v="Shift 2"/>
    <s v="Lathe"/>
    <s v="Assembly"/>
    <n v="33"/>
    <n v="1"/>
    <s v="Alpha Metals"/>
    <n v="5"/>
  </r>
  <r>
    <s v="Steel Bolts"/>
    <s v="2024-08-26"/>
    <n v="970"/>
    <s v="Shift 3"/>
    <s v="Cutter"/>
    <s v="Assembly"/>
    <n v="27"/>
    <n v="2"/>
    <s v="QuickParts"/>
    <n v="4"/>
  </r>
  <r>
    <s v="Steel Bolts"/>
    <s v="2024-12-07"/>
    <n v="1642"/>
    <s v="Shift 2"/>
    <s v="Drill"/>
    <s v="Cutting"/>
    <n v="12"/>
    <n v="1"/>
    <s v="Alpha Metals"/>
    <n v="0"/>
  </r>
  <r>
    <s v="Copper Pipes"/>
    <s v="2024-04-30"/>
    <n v="895"/>
    <s v="Shift 1"/>
    <s v="Press"/>
    <s v="Welding"/>
    <n v="14"/>
    <n v="7"/>
    <s v="Bright Supplies"/>
    <n v="4"/>
  </r>
  <r>
    <s v="Copper Pipes"/>
    <s v="2024-02-18"/>
    <n v="760"/>
    <s v="Shift 2"/>
    <s v="Lathe"/>
    <s v="Painting"/>
    <n v="22"/>
    <n v="5"/>
    <s v="Alpha Metals"/>
    <n v="0"/>
  </r>
  <r>
    <s v="Aluminum Sheets"/>
    <s v="2024-02-24"/>
    <n v="1304"/>
    <s v="Shift 2"/>
    <s v="Lathe"/>
    <s v="Welding"/>
    <n v="43"/>
    <n v="5"/>
    <s v="Alpha Metals"/>
    <n v="4"/>
  </r>
  <r>
    <s v="Steel Bolts"/>
    <s v="2024-12-14"/>
    <n v="1433"/>
    <s v="Shift 3"/>
    <s v="Cutter"/>
    <s v="Cutting"/>
    <n v="25"/>
    <n v="8"/>
    <s v="Bright Supplies"/>
    <n v="5"/>
  </r>
  <r>
    <s v="Aluminum Sheets"/>
    <s v="2024-09-23"/>
    <n v="1779"/>
    <s v="Shift 2"/>
    <s v="Press"/>
    <s v="Painting"/>
    <n v="3"/>
    <n v="7"/>
    <s v="Alpha Metals"/>
    <n v="5"/>
  </r>
  <r>
    <s v="Copper Pipes"/>
    <s v="2024-06-06"/>
    <n v="1404"/>
    <s v="Shift 1"/>
    <s v="Drill"/>
    <s v="Cutting"/>
    <n v="25"/>
    <n v="3"/>
    <s v="Metro Steel"/>
    <n v="0"/>
  </r>
  <r>
    <s v="Copper Pipes"/>
    <s v="2024-08-25"/>
    <n v="1749"/>
    <s v="Shift 1"/>
    <s v="Cutter"/>
    <s v="Assembly"/>
    <n v="39"/>
    <n v="3"/>
    <s v="QuickParts"/>
    <n v="3"/>
  </r>
  <r>
    <s v="Plastic Gears"/>
    <s v="2024-06-10"/>
    <n v="1576"/>
    <s v="Shift 3"/>
    <s v="Drill"/>
    <s v="Assembly"/>
    <n v="8"/>
    <n v="8"/>
    <s v="Alpha Metals"/>
    <n v="5"/>
  </r>
  <r>
    <s v="Steel Bolts"/>
    <s v="2024-11-04"/>
    <n v="1439"/>
    <s v="Shift 1"/>
    <s v="Lathe"/>
    <s v="Cutting"/>
    <n v="4"/>
    <n v="0"/>
    <s v="Bright Supplies"/>
    <n v="3"/>
  </r>
  <r>
    <s v="Aluminum Sheets"/>
    <s v="2024-01-28"/>
    <n v="1353"/>
    <s v="Shift 2"/>
    <s v="Drill"/>
    <s v="Painting"/>
    <n v="31"/>
    <n v="1"/>
    <s v="QuickParts"/>
    <n v="2"/>
  </r>
  <r>
    <s v="Copper Pipes"/>
    <s v="2024-10-31"/>
    <n v="1887"/>
    <s v="Shift 1"/>
    <s v="Drill"/>
    <s v="Painting"/>
    <n v="19"/>
    <n v="1"/>
    <s v="Bright Supplies"/>
    <n v="0"/>
  </r>
  <r>
    <s v="Copper Pipes"/>
    <s v="2024-04-23"/>
    <n v="1803"/>
    <s v="Shift 3"/>
    <s v="Cutter"/>
    <s v="Welding"/>
    <n v="49"/>
    <n v="5"/>
    <s v="QuickParts"/>
    <n v="5"/>
  </r>
  <r>
    <s v="Aluminum Sheets"/>
    <s v="2024-02-20"/>
    <n v="1092"/>
    <s v="Shift 2"/>
    <s v="Drill"/>
    <s v="Assembly"/>
    <n v="10"/>
    <n v="3"/>
    <s v="QuickParts"/>
    <n v="1"/>
  </r>
  <r>
    <s v="Plastic Gears"/>
    <s v="2024-09-05"/>
    <n v="1213"/>
    <s v="Shift 3"/>
    <s v="Cutter"/>
    <s v="Welding"/>
    <n v="14"/>
    <n v="10"/>
    <s v="Alpha Metals"/>
    <n v="2"/>
  </r>
  <r>
    <s v="Copper Pipes"/>
    <s v="2024-08-14"/>
    <n v="1681"/>
    <s v="Shift 2"/>
    <s v="Lathe"/>
    <s v="Welding"/>
    <n v="31"/>
    <n v="9"/>
    <s v="Metro Steel"/>
    <n v="3"/>
  </r>
  <r>
    <s v="Steel Bolts"/>
    <s v="2024-06-09"/>
    <n v="1131"/>
    <s v="Shift 1"/>
    <s v="Cutter"/>
    <s v="Cutting"/>
    <n v="27"/>
    <n v="2"/>
    <s v="Alpha Metals"/>
    <n v="5"/>
  </r>
  <r>
    <s v="Copper Pipes"/>
    <s v="2024-12-31"/>
    <n v="558"/>
    <s v="Shift 3"/>
    <s v="Cutter"/>
    <s v="Cutting"/>
    <n v="21"/>
    <n v="2"/>
    <s v="Bright Supplies"/>
    <n v="0"/>
  </r>
  <r>
    <s v="Steel Bolts"/>
    <s v="2024-04-22"/>
    <n v="627"/>
    <s v="Shift 3"/>
    <s v="Press"/>
    <s v="Welding"/>
    <n v="40"/>
    <n v="2"/>
    <s v="Bright Supplies"/>
    <n v="4"/>
  </r>
  <r>
    <s v="Aluminum Sheets"/>
    <s v="2024-08-15"/>
    <n v="1235"/>
    <s v="Shift 2"/>
    <s v="Drill"/>
    <s v="Assembly"/>
    <n v="16"/>
    <n v="5"/>
    <s v="QuickParts"/>
    <n v="1"/>
  </r>
  <r>
    <s v="Steel Bolts"/>
    <s v="2024-12-15"/>
    <n v="1220"/>
    <s v="Shift 3"/>
    <s v="Lathe"/>
    <s v="Cutting"/>
    <n v="25"/>
    <n v="7"/>
    <s v="QuickParts"/>
    <n v="3"/>
  </r>
  <r>
    <s v="Aluminum Sheets"/>
    <s v="2024-07-08"/>
    <n v="1638"/>
    <s v="Shift 2"/>
    <s v="Cutter"/>
    <s v="Welding"/>
    <n v="43"/>
    <n v="10"/>
    <s v="Metro Steel"/>
    <n v="2"/>
  </r>
  <r>
    <s v="Steel Bolts"/>
    <s v="2024-12-17"/>
    <n v="1732"/>
    <s v="Shift 2"/>
    <s v="Lathe"/>
    <s v="Welding"/>
    <n v="6"/>
    <n v="6"/>
    <s v="Alpha Metals"/>
    <n v="0"/>
  </r>
  <r>
    <s v="Aluminum Sheets"/>
    <s v="2024-09-17"/>
    <n v="1025"/>
    <s v="Shift 2"/>
    <s v="Press"/>
    <s v="Welding"/>
    <n v="41"/>
    <n v="3"/>
    <s v="Bright Supplies"/>
    <n v="1"/>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00">
  <r>
    <x v="0"/>
    <s v="2024-03-19"/>
    <n v="1372"/>
    <x v="0"/>
    <x v="0"/>
    <x v="0"/>
    <n v="8"/>
    <n v="8"/>
    <x v="0"/>
    <n v="1"/>
  </r>
  <r>
    <x v="1"/>
    <s v="2024-10-22"/>
    <n v="1796"/>
    <x v="1"/>
    <x v="1"/>
    <x v="1"/>
    <n v="8"/>
    <n v="9"/>
    <x v="1"/>
    <n v="4"/>
  </r>
  <r>
    <x v="2"/>
    <s v="2024-01-04"/>
    <n v="561"/>
    <x v="0"/>
    <x v="0"/>
    <x v="0"/>
    <n v="3"/>
    <n v="8"/>
    <x v="1"/>
    <n v="3"/>
  </r>
  <r>
    <x v="0"/>
    <s v="2024-06-20"/>
    <n v="1095"/>
    <x v="0"/>
    <x v="2"/>
    <x v="2"/>
    <n v="34"/>
    <n v="9"/>
    <x v="0"/>
    <n v="1"/>
  </r>
  <r>
    <x v="0"/>
    <s v="2024-07-09"/>
    <n v="1228"/>
    <x v="2"/>
    <x v="3"/>
    <x v="2"/>
    <n v="16"/>
    <n v="10"/>
    <x v="2"/>
    <n v="0"/>
  </r>
  <r>
    <x v="1"/>
    <s v="2024-09-08"/>
    <n v="1865"/>
    <x v="0"/>
    <x v="2"/>
    <x v="3"/>
    <n v="33"/>
    <n v="2"/>
    <x v="0"/>
    <n v="0"/>
  </r>
  <r>
    <x v="2"/>
    <s v="2024-04-26"/>
    <n v="896"/>
    <x v="1"/>
    <x v="1"/>
    <x v="1"/>
    <n v="23"/>
    <n v="10"/>
    <x v="0"/>
    <n v="3"/>
  </r>
  <r>
    <x v="2"/>
    <s v="2024-04-24"/>
    <n v="1198"/>
    <x v="1"/>
    <x v="2"/>
    <x v="3"/>
    <n v="31"/>
    <n v="4"/>
    <x v="1"/>
    <n v="3"/>
  </r>
  <r>
    <x v="0"/>
    <s v="2024-07-27"/>
    <n v="1542"/>
    <x v="2"/>
    <x v="3"/>
    <x v="2"/>
    <n v="0"/>
    <n v="7"/>
    <x v="0"/>
    <n v="5"/>
  </r>
  <r>
    <x v="3"/>
    <s v="2024-03-26"/>
    <n v="676"/>
    <x v="1"/>
    <x v="2"/>
    <x v="0"/>
    <n v="7"/>
    <n v="7"/>
    <x v="2"/>
    <n v="2"/>
  </r>
  <r>
    <x v="0"/>
    <s v="2024-08-14"/>
    <n v="895"/>
    <x v="1"/>
    <x v="1"/>
    <x v="3"/>
    <n v="44"/>
    <n v="3"/>
    <x v="0"/>
    <n v="1"/>
  </r>
  <r>
    <x v="0"/>
    <s v="2024-11-30"/>
    <n v="944"/>
    <x v="1"/>
    <x v="0"/>
    <x v="3"/>
    <n v="22"/>
    <n v="10"/>
    <x v="2"/>
    <n v="3"/>
  </r>
  <r>
    <x v="0"/>
    <s v="2024-08-14"/>
    <n v="1756"/>
    <x v="0"/>
    <x v="2"/>
    <x v="0"/>
    <n v="46"/>
    <n v="10"/>
    <x v="2"/>
    <n v="2"/>
  </r>
  <r>
    <x v="0"/>
    <s v="2024-06-22"/>
    <n v="575"/>
    <x v="0"/>
    <x v="1"/>
    <x v="3"/>
    <n v="39"/>
    <n v="0"/>
    <x v="1"/>
    <n v="5"/>
  </r>
  <r>
    <x v="1"/>
    <s v="2024-03-26"/>
    <n v="764"/>
    <x v="1"/>
    <x v="1"/>
    <x v="0"/>
    <n v="11"/>
    <n v="0"/>
    <x v="3"/>
    <n v="2"/>
  </r>
  <r>
    <x v="2"/>
    <s v="2024-08-21"/>
    <n v="954"/>
    <x v="2"/>
    <x v="3"/>
    <x v="1"/>
    <n v="11"/>
    <n v="3"/>
    <x v="3"/>
    <n v="3"/>
  </r>
  <r>
    <x v="1"/>
    <s v="2024-06-13"/>
    <n v="1217"/>
    <x v="0"/>
    <x v="3"/>
    <x v="0"/>
    <n v="45"/>
    <n v="5"/>
    <x v="1"/>
    <n v="0"/>
  </r>
  <r>
    <x v="1"/>
    <s v="2024-08-20"/>
    <n v="1234"/>
    <x v="2"/>
    <x v="2"/>
    <x v="1"/>
    <n v="46"/>
    <n v="7"/>
    <x v="0"/>
    <n v="1"/>
  </r>
  <r>
    <x v="1"/>
    <s v="2024-07-28"/>
    <n v="1907"/>
    <x v="1"/>
    <x v="0"/>
    <x v="0"/>
    <n v="14"/>
    <n v="5"/>
    <x v="1"/>
    <n v="1"/>
  </r>
  <r>
    <x v="0"/>
    <s v="2024-09-30"/>
    <n v="1350"/>
    <x v="1"/>
    <x v="1"/>
    <x v="2"/>
    <n v="40"/>
    <n v="8"/>
    <x v="2"/>
    <n v="0"/>
  </r>
  <r>
    <x v="3"/>
    <s v="2024-05-15"/>
    <n v="1890"/>
    <x v="0"/>
    <x v="2"/>
    <x v="2"/>
    <n v="18"/>
    <n v="8"/>
    <x v="3"/>
    <n v="3"/>
  </r>
  <r>
    <x v="2"/>
    <s v="2024-04-24"/>
    <n v="643"/>
    <x v="1"/>
    <x v="1"/>
    <x v="1"/>
    <n v="25"/>
    <n v="1"/>
    <x v="1"/>
    <n v="1"/>
  </r>
  <r>
    <x v="3"/>
    <s v="2024-06-13"/>
    <n v="1384"/>
    <x v="0"/>
    <x v="1"/>
    <x v="1"/>
    <n v="28"/>
    <n v="9"/>
    <x v="0"/>
    <n v="3"/>
  </r>
  <r>
    <x v="1"/>
    <s v="2024-12-02"/>
    <n v="1592"/>
    <x v="1"/>
    <x v="0"/>
    <x v="2"/>
    <n v="21"/>
    <n v="0"/>
    <x v="1"/>
    <n v="5"/>
  </r>
  <r>
    <x v="1"/>
    <s v="2024-04-23"/>
    <n v="1622"/>
    <x v="1"/>
    <x v="0"/>
    <x v="1"/>
    <n v="39"/>
    <n v="1"/>
    <x v="3"/>
    <n v="3"/>
  </r>
  <r>
    <x v="3"/>
    <s v="2024-08-14"/>
    <n v="895"/>
    <x v="0"/>
    <x v="2"/>
    <x v="0"/>
    <n v="20"/>
    <n v="4"/>
    <x v="1"/>
    <n v="2"/>
  </r>
  <r>
    <x v="3"/>
    <s v="2024-05-17"/>
    <n v="1548"/>
    <x v="0"/>
    <x v="0"/>
    <x v="0"/>
    <n v="50"/>
    <n v="3"/>
    <x v="1"/>
    <n v="0"/>
  </r>
  <r>
    <x v="3"/>
    <s v="2024-01-02"/>
    <n v="1447"/>
    <x v="0"/>
    <x v="0"/>
    <x v="2"/>
    <n v="37"/>
    <n v="3"/>
    <x v="3"/>
    <n v="3"/>
  </r>
  <r>
    <x v="1"/>
    <s v="2024-08-29"/>
    <n v="1390"/>
    <x v="1"/>
    <x v="2"/>
    <x v="3"/>
    <n v="19"/>
    <n v="8"/>
    <x v="2"/>
    <n v="5"/>
  </r>
  <r>
    <x v="1"/>
    <s v="2024-05-01"/>
    <n v="1992"/>
    <x v="1"/>
    <x v="0"/>
    <x v="0"/>
    <n v="28"/>
    <n v="10"/>
    <x v="2"/>
    <n v="4"/>
  </r>
  <r>
    <x v="2"/>
    <s v="2024-09-13"/>
    <n v="1674"/>
    <x v="2"/>
    <x v="3"/>
    <x v="1"/>
    <n v="50"/>
    <n v="7"/>
    <x v="3"/>
    <n v="0"/>
  </r>
  <r>
    <x v="2"/>
    <s v="2024-09-25"/>
    <n v="1667"/>
    <x v="0"/>
    <x v="1"/>
    <x v="3"/>
    <n v="3"/>
    <n v="5"/>
    <x v="1"/>
    <n v="1"/>
  </r>
  <r>
    <x v="1"/>
    <s v="2024-12-29"/>
    <n v="1068"/>
    <x v="1"/>
    <x v="1"/>
    <x v="3"/>
    <n v="6"/>
    <n v="0"/>
    <x v="3"/>
    <n v="2"/>
  </r>
  <r>
    <x v="3"/>
    <s v="2024-07-24"/>
    <n v="1562"/>
    <x v="1"/>
    <x v="1"/>
    <x v="0"/>
    <n v="27"/>
    <n v="1"/>
    <x v="2"/>
    <n v="1"/>
  </r>
  <r>
    <x v="3"/>
    <s v="2024-07-08"/>
    <n v="608"/>
    <x v="0"/>
    <x v="1"/>
    <x v="0"/>
    <n v="27"/>
    <n v="5"/>
    <x v="0"/>
    <n v="5"/>
  </r>
  <r>
    <x v="2"/>
    <s v="2024-12-21"/>
    <n v="1565"/>
    <x v="2"/>
    <x v="2"/>
    <x v="3"/>
    <n v="3"/>
    <n v="10"/>
    <x v="1"/>
    <n v="5"/>
  </r>
  <r>
    <x v="1"/>
    <s v="2024-03-04"/>
    <n v="1709"/>
    <x v="0"/>
    <x v="1"/>
    <x v="3"/>
    <n v="21"/>
    <n v="1"/>
    <x v="2"/>
    <n v="1"/>
  </r>
  <r>
    <x v="2"/>
    <s v="2024-08-28"/>
    <n v="1434"/>
    <x v="2"/>
    <x v="1"/>
    <x v="2"/>
    <n v="11"/>
    <n v="9"/>
    <x v="1"/>
    <n v="0"/>
  </r>
  <r>
    <x v="2"/>
    <s v="2024-12-12"/>
    <n v="897"/>
    <x v="1"/>
    <x v="1"/>
    <x v="1"/>
    <n v="44"/>
    <n v="4"/>
    <x v="3"/>
    <n v="1"/>
  </r>
  <r>
    <x v="0"/>
    <s v="2024-10-15"/>
    <n v="1746"/>
    <x v="2"/>
    <x v="1"/>
    <x v="2"/>
    <n v="2"/>
    <n v="4"/>
    <x v="0"/>
    <n v="3"/>
  </r>
  <r>
    <x v="0"/>
    <s v="2024-04-16"/>
    <n v="1133"/>
    <x v="1"/>
    <x v="3"/>
    <x v="0"/>
    <n v="21"/>
    <n v="5"/>
    <x v="3"/>
    <n v="1"/>
  </r>
  <r>
    <x v="0"/>
    <s v="2024-02-20"/>
    <n v="1656"/>
    <x v="0"/>
    <x v="1"/>
    <x v="2"/>
    <n v="43"/>
    <n v="5"/>
    <x v="0"/>
    <n v="2"/>
  </r>
  <r>
    <x v="3"/>
    <s v="2024-03-29"/>
    <n v="1686"/>
    <x v="0"/>
    <x v="3"/>
    <x v="2"/>
    <n v="1"/>
    <n v="5"/>
    <x v="1"/>
    <n v="2"/>
  </r>
  <r>
    <x v="1"/>
    <s v="2024-03-26"/>
    <n v="1738"/>
    <x v="0"/>
    <x v="2"/>
    <x v="2"/>
    <n v="23"/>
    <n v="1"/>
    <x v="1"/>
    <n v="4"/>
  </r>
  <r>
    <x v="1"/>
    <s v="2024-01-02"/>
    <n v="1232"/>
    <x v="2"/>
    <x v="0"/>
    <x v="2"/>
    <n v="33"/>
    <n v="9"/>
    <x v="3"/>
    <n v="2"/>
  </r>
  <r>
    <x v="1"/>
    <s v="2024-09-14"/>
    <n v="734"/>
    <x v="1"/>
    <x v="1"/>
    <x v="1"/>
    <n v="26"/>
    <n v="2"/>
    <x v="0"/>
    <n v="1"/>
  </r>
  <r>
    <x v="1"/>
    <s v="2024-08-20"/>
    <n v="1157"/>
    <x v="0"/>
    <x v="0"/>
    <x v="1"/>
    <n v="40"/>
    <n v="5"/>
    <x v="0"/>
    <n v="2"/>
  </r>
  <r>
    <x v="0"/>
    <s v="2024-08-24"/>
    <n v="1250"/>
    <x v="0"/>
    <x v="0"/>
    <x v="3"/>
    <n v="0"/>
    <n v="7"/>
    <x v="1"/>
    <n v="0"/>
  </r>
  <r>
    <x v="3"/>
    <s v="2024-05-07"/>
    <n v="1087"/>
    <x v="1"/>
    <x v="2"/>
    <x v="0"/>
    <n v="7"/>
    <n v="10"/>
    <x v="3"/>
    <n v="2"/>
  </r>
  <r>
    <x v="3"/>
    <s v="2024-02-01"/>
    <n v="1532"/>
    <x v="0"/>
    <x v="0"/>
    <x v="2"/>
    <n v="22"/>
    <n v="0"/>
    <x v="0"/>
    <n v="3"/>
  </r>
  <r>
    <x v="0"/>
    <s v="2024-12-29"/>
    <n v="1597"/>
    <x v="1"/>
    <x v="3"/>
    <x v="3"/>
    <n v="37"/>
    <n v="0"/>
    <x v="1"/>
    <n v="0"/>
  </r>
  <r>
    <x v="3"/>
    <s v="2024-09-08"/>
    <n v="1453"/>
    <x v="1"/>
    <x v="0"/>
    <x v="3"/>
    <n v="5"/>
    <n v="10"/>
    <x v="2"/>
    <n v="4"/>
  </r>
  <r>
    <x v="0"/>
    <s v="2024-08-16"/>
    <n v="991"/>
    <x v="1"/>
    <x v="0"/>
    <x v="3"/>
    <n v="21"/>
    <n v="1"/>
    <x v="3"/>
    <n v="3"/>
  </r>
  <r>
    <x v="1"/>
    <s v="2024-10-22"/>
    <n v="1412"/>
    <x v="1"/>
    <x v="0"/>
    <x v="1"/>
    <n v="24"/>
    <n v="10"/>
    <x v="2"/>
    <n v="1"/>
  </r>
  <r>
    <x v="0"/>
    <s v="2024-03-31"/>
    <n v="1776"/>
    <x v="1"/>
    <x v="1"/>
    <x v="2"/>
    <n v="17"/>
    <n v="5"/>
    <x v="3"/>
    <n v="1"/>
  </r>
  <r>
    <x v="1"/>
    <s v="2024-12-04"/>
    <n v="1753"/>
    <x v="2"/>
    <x v="1"/>
    <x v="2"/>
    <n v="16"/>
    <n v="8"/>
    <x v="1"/>
    <n v="1"/>
  </r>
  <r>
    <x v="1"/>
    <s v="2024-03-17"/>
    <n v="1697"/>
    <x v="0"/>
    <x v="3"/>
    <x v="0"/>
    <n v="11"/>
    <n v="3"/>
    <x v="0"/>
    <n v="3"/>
  </r>
  <r>
    <x v="2"/>
    <s v="2024-08-13"/>
    <n v="1691"/>
    <x v="2"/>
    <x v="3"/>
    <x v="2"/>
    <n v="5"/>
    <n v="2"/>
    <x v="0"/>
    <n v="3"/>
  </r>
  <r>
    <x v="0"/>
    <s v="2024-02-06"/>
    <n v="669"/>
    <x v="0"/>
    <x v="1"/>
    <x v="2"/>
    <n v="25"/>
    <n v="7"/>
    <x v="0"/>
    <n v="3"/>
  </r>
  <r>
    <x v="2"/>
    <s v="2024-05-12"/>
    <n v="1916"/>
    <x v="2"/>
    <x v="3"/>
    <x v="3"/>
    <n v="26"/>
    <n v="10"/>
    <x v="3"/>
    <n v="0"/>
  </r>
  <r>
    <x v="0"/>
    <s v="2024-01-24"/>
    <n v="1445"/>
    <x v="1"/>
    <x v="1"/>
    <x v="0"/>
    <n v="7"/>
    <n v="9"/>
    <x v="1"/>
    <n v="5"/>
  </r>
  <r>
    <x v="0"/>
    <s v="2024-06-18"/>
    <n v="1294"/>
    <x v="0"/>
    <x v="2"/>
    <x v="2"/>
    <n v="18"/>
    <n v="8"/>
    <x v="2"/>
    <n v="0"/>
  </r>
  <r>
    <x v="2"/>
    <s v="2024-01-22"/>
    <n v="1133"/>
    <x v="0"/>
    <x v="0"/>
    <x v="1"/>
    <n v="41"/>
    <n v="10"/>
    <x v="1"/>
    <n v="1"/>
  </r>
  <r>
    <x v="2"/>
    <s v="2024-11-17"/>
    <n v="1717"/>
    <x v="2"/>
    <x v="0"/>
    <x v="2"/>
    <n v="0"/>
    <n v="4"/>
    <x v="2"/>
    <n v="5"/>
  </r>
  <r>
    <x v="0"/>
    <s v="2024-08-31"/>
    <n v="528"/>
    <x v="2"/>
    <x v="3"/>
    <x v="3"/>
    <n v="28"/>
    <n v="8"/>
    <x v="3"/>
    <n v="2"/>
  </r>
  <r>
    <x v="3"/>
    <s v="2024-12-22"/>
    <n v="1688"/>
    <x v="0"/>
    <x v="1"/>
    <x v="1"/>
    <n v="44"/>
    <n v="1"/>
    <x v="3"/>
    <n v="1"/>
  </r>
  <r>
    <x v="1"/>
    <s v="2024-03-29"/>
    <n v="1945"/>
    <x v="2"/>
    <x v="1"/>
    <x v="3"/>
    <n v="48"/>
    <n v="2"/>
    <x v="2"/>
    <n v="4"/>
  </r>
  <r>
    <x v="2"/>
    <s v="2024-02-11"/>
    <n v="838"/>
    <x v="2"/>
    <x v="3"/>
    <x v="2"/>
    <n v="34"/>
    <n v="6"/>
    <x v="2"/>
    <n v="0"/>
  </r>
  <r>
    <x v="1"/>
    <s v="2024-02-19"/>
    <n v="1888"/>
    <x v="2"/>
    <x v="1"/>
    <x v="1"/>
    <n v="39"/>
    <n v="6"/>
    <x v="2"/>
    <n v="3"/>
  </r>
  <r>
    <x v="3"/>
    <s v="2024-01-29"/>
    <n v="1865"/>
    <x v="1"/>
    <x v="2"/>
    <x v="0"/>
    <n v="13"/>
    <n v="5"/>
    <x v="1"/>
    <n v="0"/>
  </r>
  <r>
    <x v="3"/>
    <s v="2024-03-09"/>
    <n v="999"/>
    <x v="1"/>
    <x v="0"/>
    <x v="0"/>
    <n v="34"/>
    <n v="5"/>
    <x v="2"/>
    <n v="3"/>
  </r>
  <r>
    <x v="3"/>
    <s v="2024-04-30"/>
    <n v="1010"/>
    <x v="2"/>
    <x v="3"/>
    <x v="1"/>
    <n v="47"/>
    <n v="1"/>
    <x v="3"/>
    <n v="5"/>
  </r>
  <r>
    <x v="2"/>
    <s v="2024-11-25"/>
    <n v="1850"/>
    <x v="2"/>
    <x v="3"/>
    <x v="1"/>
    <n v="44"/>
    <n v="9"/>
    <x v="3"/>
    <n v="4"/>
  </r>
  <r>
    <x v="3"/>
    <s v="2024-09-13"/>
    <n v="716"/>
    <x v="1"/>
    <x v="1"/>
    <x v="3"/>
    <n v="19"/>
    <n v="5"/>
    <x v="0"/>
    <n v="5"/>
  </r>
  <r>
    <x v="2"/>
    <s v="2024-03-05"/>
    <n v="1824"/>
    <x v="1"/>
    <x v="3"/>
    <x v="1"/>
    <n v="48"/>
    <n v="3"/>
    <x v="2"/>
    <n v="4"/>
  </r>
  <r>
    <x v="3"/>
    <s v="2024-07-02"/>
    <n v="1655"/>
    <x v="0"/>
    <x v="2"/>
    <x v="3"/>
    <n v="12"/>
    <n v="2"/>
    <x v="1"/>
    <n v="0"/>
  </r>
  <r>
    <x v="1"/>
    <s v="2024-06-20"/>
    <n v="1593"/>
    <x v="0"/>
    <x v="1"/>
    <x v="2"/>
    <n v="37"/>
    <n v="10"/>
    <x v="1"/>
    <n v="3"/>
  </r>
  <r>
    <x v="1"/>
    <s v="2024-03-20"/>
    <n v="1775"/>
    <x v="1"/>
    <x v="1"/>
    <x v="3"/>
    <n v="48"/>
    <n v="1"/>
    <x v="1"/>
    <n v="5"/>
  </r>
  <r>
    <x v="0"/>
    <s v="2024-01-11"/>
    <n v="1938"/>
    <x v="2"/>
    <x v="1"/>
    <x v="1"/>
    <n v="45"/>
    <n v="0"/>
    <x v="0"/>
    <n v="4"/>
  </r>
  <r>
    <x v="1"/>
    <s v="2024-09-28"/>
    <n v="944"/>
    <x v="2"/>
    <x v="1"/>
    <x v="1"/>
    <n v="48"/>
    <n v="10"/>
    <x v="3"/>
    <n v="1"/>
  </r>
  <r>
    <x v="0"/>
    <s v="2024-04-24"/>
    <n v="1375"/>
    <x v="2"/>
    <x v="2"/>
    <x v="2"/>
    <n v="7"/>
    <n v="10"/>
    <x v="1"/>
    <n v="1"/>
  </r>
  <r>
    <x v="1"/>
    <s v="2024-03-08"/>
    <n v="1705"/>
    <x v="2"/>
    <x v="1"/>
    <x v="1"/>
    <n v="42"/>
    <n v="4"/>
    <x v="3"/>
    <n v="5"/>
  </r>
  <r>
    <x v="2"/>
    <s v="2024-01-13"/>
    <n v="666"/>
    <x v="0"/>
    <x v="3"/>
    <x v="1"/>
    <n v="19"/>
    <n v="1"/>
    <x v="0"/>
    <n v="3"/>
  </r>
  <r>
    <x v="1"/>
    <s v="2024-01-10"/>
    <n v="590"/>
    <x v="1"/>
    <x v="2"/>
    <x v="0"/>
    <n v="32"/>
    <n v="1"/>
    <x v="2"/>
    <n v="5"/>
  </r>
  <r>
    <x v="0"/>
    <s v="2024-01-25"/>
    <n v="1213"/>
    <x v="2"/>
    <x v="0"/>
    <x v="0"/>
    <n v="25"/>
    <n v="6"/>
    <x v="2"/>
    <n v="0"/>
  </r>
  <r>
    <x v="0"/>
    <s v="2024-05-01"/>
    <n v="538"/>
    <x v="0"/>
    <x v="0"/>
    <x v="2"/>
    <n v="38"/>
    <n v="7"/>
    <x v="2"/>
    <n v="4"/>
  </r>
  <r>
    <x v="3"/>
    <s v="2024-02-25"/>
    <n v="1649"/>
    <x v="2"/>
    <x v="3"/>
    <x v="3"/>
    <n v="20"/>
    <n v="9"/>
    <x v="1"/>
    <n v="0"/>
  </r>
  <r>
    <x v="2"/>
    <s v="2024-04-10"/>
    <n v="1974"/>
    <x v="1"/>
    <x v="3"/>
    <x v="0"/>
    <n v="48"/>
    <n v="7"/>
    <x v="2"/>
    <n v="1"/>
  </r>
  <r>
    <x v="1"/>
    <s v="2024-09-21"/>
    <n v="672"/>
    <x v="0"/>
    <x v="2"/>
    <x v="3"/>
    <n v="41"/>
    <n v="3"/>
    <x v="1"/>
    <n v="4"/>
  </r>
  <r>
    <x v="3"/>
    <s v="2024-01-28"/>
    <n v="1152"/>
    <x v="1"/>
    <x v="0"/>
    <x v="1"/>
    <n v="42"/>
    <n v="0"/>
    <x v="0"/>
    <n v="5"/>
  </r>
  <r>
    <x v="1"/>
    <s v="2024-04-15"/>
    <n v="1253"/>
    <x v="1"/>
    <x v="0"/>
    <x v="0"/>
    <n v="40"/>
    <n v="10"/>
    <x v="0"/>
    <n v="0"/>
  </r>
  <r>
    <x v="1"/>
    <s v="2024-10-13"/>
    <n v="1743"/>
    <x v="0"/>
    <x v="0"/>
    <x v="2"/>
    <n v="8"/>
    <n v="6"/>
    <x v="1"/>
    <n v="2"/>
  </r>
  <r>
    <x v="3"/>
    <s v="2024-05-29"/>
    <n v="1581"/>
    <x v="0"/>
    <x v="0"/>
    <x v="2"/>
    <n v="23"/>
    <n v="0"/>
    <x v="3"/>
    <n v="3"/>
  </r>
  <r>
    <x v="3"/>
    <s v="2024-02-19"/>
    <n v="975"/>
    <x v="0"/>
    <x v="0"/>
    <x v="2"/>
    <n v="36"/>
    <n v="10"/>
    <x v="2"/>
    <n v="3"/>
  </r>
  <r>
    <x v="3"/>
    <s v="2024-11-30"/>
    <n v="955"/>
    <x v="0"/>
    <x v="1"/>
    <x v="0"/>
    <n v="48"/>
    <n v="3"/>
    <x v="2"/>
    <n v="2"/>
  </r>
  <r>
    <x v="3"/>
    <s v="2024-08-31"/>
    <n v="1328"/>
    <x v="0"/>
    <x v="3"/>
    <x v="3"/>
    <n v="40"/>
    <n v="7"/>
    <x v="2"/>
    <n v="1"/>
  </r>
  <r>
    <x v="3"/>
    <s v="2024-05-08"/>
    <n v="1394"/>
    <x v="0"/>
    <x v="1"/>
    <x v="1"/>
    <n v="16"/>
    <n v="1"/>
    <x v="1"/>
    <n v="4"/>
  </r>
  <r>
    <x v="1"/>
    <s v="2024-04-28"/>
    <n v="1884"/>
    <x v="0"/>
    <x v="0"/>
    <x v="3"/>
    <n v="23"/>
    <n v="5"/>
    <x v="0"/>
    <n v="3"/>
  </r>
  <r>
    <x v="3"/>
    <s v="2024-09-19"/>
    <n v="1524"/>
    <x v="2"/>
    <x v="2"/>
    <x v="3"/>
    <n v="20"/>
    <n v="5"/>
    <x v="2"/>
    <n v="2"/>
  </r>
  <r>
    <x v="2"/>
    <s v="2024-03-04"/>
    <n v="886"/>
    <x v="1"/>
    <x v="2"/>
    <x v="1"/>
    <n v="50"/>
    <n v="8"/>
    <x v="0"/>
    <n v="5"/>
  </r>
  <r>
    <x v="0"/>
    <s v="2024-11-04"/>
    <n v="847"/>
    <x v="0"/>
    <x v="0"/>
    <x v="1"/>
    <n v="38"/>
    <n v="4"/>
    <x v="2"/>
    <n v="2"/>
  </r>
  <r>
    <x v="3"/>
    <s v="2024-01-09"/>
    <n v="689"/>
    <x v="2"/>
    <x v="0"/>
    <x v="0"/>
    <n v="40"/>
    <n v="9"/>
    <x v="2"/>
    <n v="1"/>
  </r>
  <r>
    <x v="3"/>
    <s v="2024-08-09"/>
    <n v="1004"/>
    <x v="2"/>
    <x v="2"/>
    <x v="0"/>
    <n v="38"/>
    <n v="3"/>
    <x v="1"/>
    <n v="1"/>
  </r>
  <r>
    <x v="1"/>
    <s v="2024-07-31"/>
    <n v="1714"/>
    <x v="2"/>
    <x v="1"/>
    <x v="0"/>
    <n v="12"/>
    <n v="4"/>
    <x v="3"/>
    <n v="0"/>
  </r>
  <r>
    <x v="3"/>
    <s v="2024-01-18"/>
    <n v="1892"/>
    <x v="1"/>
    <x v="1"/>
    <x v="0"/>
    <n v="10"/>
    <n v="9"/>
    <x v="1"/>
    <n v="3"/>
  </r>
  <r>
    <x v="3"/>
    <s v="2024-01-31"/>
    <n v="1932"/>
    <x v="0"/>
    <x v="0"/>
    <x v="0"/>
    <n v="45"/>
    <n v="10"/>
    <x v="2"/>
    <n v="0"/>
  </r>
  <r>
    <x v="3"/>
    <s v="2024-09-03"/>
    <n v="1323"/>
    <x v="2"/>
    <x v="1"/>
    <x v="1"/>
    <n v="18"/>
    <n v="4"/>
    <x v="2"/>
    <n v="2"/>
  </r>
  <r>
    <x v="1"/>
    <s v="2024-09-18"/>
    <n v="1428"/>
    <x v="1"/>
    <x v="2"/>
    <x v="3"/>
    <n v="10"/>
    <n v="7"/>
    <x v="3"/>
    <n v="4"/>
  </r>
  <r>
    <x v="3"/>
    <s v="2024-02-01"/>
    <n v="1433"/>
    <x v="1"/>
    <x v="1"/>
    <x v="0"/>
    <n v="12"/>
    <n v="9"/>
    <x v="0"/>
    <n v="4"/>
  </r>
  <r>
    <x v="0"/>
    <s v="2024-06-24"/>
    <n v="1640"/>
    <x v="1"/>
    <x v="0"/>
    <x v="0"/>
    <n v="45"/>
    <n v="7"/>
    <x v="0"/>
    <n v="1"/>
  </r>
  <r>
    <x v="1"/>
    <s v="2024-11-02"/>
    <n v="633"/>
    <x v="2"/>
    <x v="2"/>
    <x v="3"/>
    <n v="44"/>
    <n v="1"/>
    <x v="2"/>
    <n v="4"/>
  </r>
  <r>
    <x v="0"/>
    <s v="2024-01-31"/>
    <n v="557"/>
    <x v="0"/>
    <x v="1"/>
    <x v="0"/>
    <n v="0"/>
    <n v="6"/>
    <x v="0"/>
    <n v="4"/>
  </r>
  <r>
    <x v="1"/>
    <s v="2024-04-09"/>
    <n v="1184"/>
    <x v="2"/>
    <x v="3"/>
    <x v="3"/>
    <n v="39"/>
    <n v="7"/>
    <x v="2"/>
    <n v="4"/>
  </r>
  <r>
    <x v="3"/>
    <s v="2024-09-30"/>
    <n v="1171"/>
    <x v="2"/>
    <x v="2"/>
    <x v="3"/>
    <n v="43"/>
    <n v="10"/>
    <x v="3"/>
    <n v="2"/>
  </r>
  <r>
    <x v="0"/>
    <s v="2024-10-17"/>
    <n v="672"/>
    <x v="0"/>
    <x v="2"/>
    <x v="1"/>
    <n v="18"/>
    <n v="5"/>
    <x v="3"/>
    <n v="4"/>
  </r>
  <r>
    <x v="1"/>
    <s v="2024-11-17"/>
    <n v="1314"/>
    <x v="0"/>
    <x v="3"/>
    <x v="2"/>
    <n v="11"/>
    <n v="4"/>
    <x v="2"/>
    <n v="5"/>
  </r>
  <r>
    <x v="2"/>
    <s v="2024-03-14"/>
    <n v="1672"/>
    <x v="0"/>
    <x v="3"/>
    <x v="1"/>
    <n v="7"/>
    <n v="10"/>
    <x v="3"/>
    <n v="4"/>
  </r>
  <r>
    <x v="3"/>
    <s v="2024-09-21"/>
    <n v="579"/>
    <x v="1"/>
    <x v="2"/>
    <x v="2"/>
    <n v="7"/>
    <n v="8"/>
    <x v="1"/>
    <n v="4"/>
  </r>
  <r>
    <x v="1"/>
    <s v="2024-02-07"/>
    <n v="1385"/>
    <x v="0"/>
    <x v="3"/>
    <x v="2"/>
    <n v="44"/>
    <n v="2"/>
    <x v="1"/>
    <n v="0"/>
  </r>
  <r>
    <x v="2"/>
    <s v="2024-07-03"/>
    <n v="1736"/>
    <x v="2"/>
    <x v="0"/>
    <x v="2"/>
    <n v="11"/>
    <n v="9"/>
    <x v="3"/>
    <n v="2"/>
  </r>
  <r>
    <x v="1"/>
    <s v="2024-03-23"/>
    <n v="702"/>
    <x v="0"/>
    <x v="0"/>
    <x v="0"/>
    <n v="47"/>
    <n v="3"/>
    <x v="2"/>
    <n v="1"/>
  </r>
  <r>
    <x v="2"/>
    <s v="2024-05-15"/>
    <n v="1263"/>
    <x v="2"/>
    <x v="0"/>
    <x v="1"/>
    <n v="32"/>
    <n v="8"/>
    <x v="2"/>
    <n v="0"/>
  </r>
  <r>
    <x v="3"/>
    <s v="2024-12-23"/>
    <n v="1752"/>
    <x v="1"/>
    <x v="2"/>
    <x v="2"/>
    <n v="44"/>
    <n v="5"/>
    <x v="3"/>
    <n v="3"/>
  </r>
  <r>
    <x v="0"/>
    <s v="2024-10-26"/>
    <n v="1750"/>
    <x v="2"/>
    <x v="3"/>
    <x v="3"/>
    <n v="25"/>
    <n v="7"/>
    <x v="0"/>
    <n v="2"/>
  </r>
  <r>
    <x v="2"/>
    <s v="2024-01-03"/>
    <n v="1964"/>
    <x v="2"/>
    <x v="3"/>
    <x v="0"/>
    <n v="38"/>
    <n v="6"/>
    <x v="1"/>
    <n v="5"/>
  </r>
  <r>
    <x v="1"/>
    <s v="2024-10-10"/>
    <n v="1925"/>
    <x v="0"/>
    <x v="1"/>
    <x v="1"/>
    <n v="27"/>
    <n v="10"/>
    <x v="0"/>
    <n v="2"/>
  </r>
  <r>
    <x v="3"/>
    <s v="2024-05-04"/>
    <n v="546"/>
    <x v="0"/>
    <x v="1"/>
    <x v="2"/>
    <n v="4"/>
    <n v="1"/>
    <x v="2"/>
    <n v="3"/>
  </r>
  <r>
    <x v="2"/>
    <s v="2024-07-06"/>
    <n v="1756"/>
    <x v="2"/>
    <x v="3"/>
    <x v="3"/>
    <n v="7"/>
    <n v="2"/>
    <x v="2"/>
    <n v="3"/>
  </r>
  <r>
    <x v="1"/>
    <s v="2024-05-13"/>
    <n v="1828"/>
    <x v="0"/>
    <x v="3"/>
    <x v="1"/>
    <n v="24"/>
    <n v="0"/>
    <x v="0"/>
    <n v="3"/>
  </r>
  <r>
    <x v="1"/>
    <s v="2024-09-01"/>
    <n v="1666"/>
    <x v="1"/>
    <x v="3"/>
    <x v="1"/>
    <n v="26"/>
    <n v="8"/>
    <x v="3"/>
    <n v="1"/>
  </r>
  <r>
    <x v="1"/>
    <s v="2024-10-17"/>
    <n v="1938"/>
    <x v="1"/>
    <x v="2"/>
    <x v="0"/>
    <n v="45"/>
    <n v="6"/>
    <x v="0"/>
    <n v="4"/>
  </r>
  <r>
    <x v="2"/>
    <s v="2024-10-28"/>
    <n v="1896"/>
    <x v="0"/>
    <x v="3"/>
    <x v="1"/>
    <n v="22"/>
    <n v="0"/>
    <x v="0"/>
    <n v="2"/>
  </r>
  <r>
    <x v="2"/>
    <s v="2024-09-06"/>
    <n v="1782"/>
    <x v="1"/>
    <x v="1"/>
    <x v="0"/>
    <n v="29"/>
    <n v="2"/>
    <x v="1"/>
    <n v="4"/>
  </r>
  <r>
    <x v="2"/>
    <s v="2024-11-20"/>
    <n v="1155"/>
    <x v="0"/>
    <x v="2"/>
    <x v="2"/>
    <n v="44"/>
    <n v="3"/>
    <x v="1"/>
    <n v="4"/>
  </r>
  <r>
    <x v="0"/>
    <s v="2024-11-27"/>
    <n v="970"/>
    <x v="2"/>
    <x v="3"/>
    <x v="0"/>
    <n v="46"/>
    <n v="3"/>
    <x v="0"/>
    <n v="5"/>
  </r>
  <r>
    <x v="2"/>
    <s v="2024-08-28"/>
    <n v="1470"/>
    <x v="2"/>
    <x v="1"/>
    <x v="3"/>
    <n v="22"/>
    <n v="4"/>
    <x v="0"/>
    <n v="3"/>
  </r>
  <r>
    <x v="2"/>
    <s v="2024-01-09"/>
    <n v="1535"/>
    <x v="1"/>
    <x v="2"/>
    <x v="0"/>
    <n v="48"/>
    <n v="2"/>
    <x v="2"/>
    <n v="1"/>
  </r>
  <r>
    <x v="2"/>
    <s v="2024-11-28"/>
    <n v="1853"/>
    <x v="0"/>
    <x v="3"/>
    <x v="3"/>
    <n v="46"/>
    <n v="2"/>
    <x v="1"/>
    <n v="5"/>
  </r>
  <r>
    <x v="0"/>
    <s v="2024-01-13"/>
    <n v="1235"/>
    <x v="0"/>
    <x v="3"/>
    <x v="0"/>
    <n v="19"/>
    <n v="0"/>
    <x v="1"/>
    <n v="0"/>
  </r>
  <r>
    <x v="2"/>
    <s v="2024-06-15"/>
    <n v="1283"/>
    <x v="1"/>
    <x v="3"/>
    <x v="1"/>
    <n v="17"/>
    <n v="6"/>
    <x v="2"/>
    <n v="1"/>
  </r>
  <r>
    <x v="1"/>
    <s v="2024-09-01"/>
    <n v="1467"/>
    <x v="2"/>
    <x v="2"/>
    <x v="2"/>
    <n v="17"/>
    <n v="10"/>
    <x v="3"/>
    <n v="4"/>
  </r>
  <r>
    <x v="2"/>
    <s v="2024-03-28"/>
    <n v="857"/>
    <x v="1"/>
    <x v="1"/>
    <x v="3"/>
    <n v="1"/>
    <n v="9"/>
    <x v="1"/>
    <n v="1"/>
  </r>
  <r>
    <x v="1"/>
    <s v="2024-03-21"/>
    <n v="1471"/>
    <x v="2"/>
    <x v="1"/>
    <x v="0"/>
    <n v="3"/>
    <n v="0"/>
    <x v="1"/>
    <n v="3"/>
  </r>
  <r>
    <x v="1"/>
    <s v="2024-02-09"/>
    <n v="1931"/>
    <x v="0"/>
    <x v="0"/>
    <x v="0"/>
    <n v="29"/>
    <n v="1"/>
    <x v="3"/>
    <n v="0"/>
  </r>
  <r>
    <x v="1"/>
    <s v="2024-04-04"/>
    <n v="1167"/>
    <x v="2"/>
    <x v="3"/>
    <x v="0"/>
    <n v="32"/>
    <n v="3"/>
    <x v="1"/>
    <n v="3"/>
  </r>
  <r>
    <x v="0"/>
    <s v="2024-06-27"/>
    <n v="872"/>
    <x v="1"/>
    <x v="0"/>
    <x v="1"/>
    <n v="35"/>
    <n v="3"/>
    <x v="1"/>
    <n v="0"/>
  </r>
  <r>
    <x v="0"/>
    <s v="2024-11-18"/>
    <n v="1531"/>
    <x v="0"/>
    <x v="0"/>
    <x v="1"/>
    <n v="17"/>
    <n v="4"/>
    <x v="3"/>
    <n v="5"/>
  </r>
  <r>
    <x v="0"/>
    <s v="2024-04-19"/>
    <n v="1645"/>
    <x v="1"/>
    <x v="1"/>
    <x v="3"/>
    <n v="36"/>
    <n v="10"/>
    <x v="3"/>
    <n v="4"/>
  </r>
  <r>
    <x v="2"/>
    <s v="2024-12-07"/>
    <n v="1871"/>
    <x v="1"/>
    <x v="2"/>
    <x v="3"/>
    <n v="18"/>
    <n v="1"/>
    <x v="0"/>
    <n v="0"/>
  </r>
  <r>
    <x v="1"/>
    <s v="2024-02-12"/>
    <n v="1175"/>
    <x v="2"/>
    <x v="2"/>
    <x v="1"/>
    <n v="46"/>
    <n v="3"/>
    <x v="2"/>
    <n v="0"/>
  </r>
  <r>
    <x v="0"/>
    <s v="2024-03-12"/>
    <n v="589"/>
    <x v="1"/>
    <x v="1"/>
    <x v="3"/>
    <n v="27"/>
    <n v="0"/>
    <x v="2"/>
    <n v="0"/>
  </r>
  <r>
    <x v="0"/>
    <s v="2024-01-05"/>
    <n v="1197"/>
    <x v="2"/>
    <x v="2"/>
    <x v="2"/>
    <n v="39"/>
    <n v="1"/>
    <x v="3"/>
    <n v="1"/>
  </r>
  <r>
    <x v="2"/>
    <s v="2024-08-25"/>
    <n v="1839"/>
    <x v="0"/>
    <x v="0"/>
    <x v="2"/>
    <n v="19"/>
    <n v="0"/>
    <x v="3"/>
    <n v="5"/>
  </r>
  <r>
    <x v="0"/>
    <s v="2024-02-25"/>
    <n v="1701"/>
    <x v="2"/>
    <x v="3"/>
    <x v="1"/>
    <n v="48"/>
    <n v="9"/>
    <x v="1"/>
    <n v="1"/>
  </r>
  <r>
    <x v="2"/>
    <s v="2024-04-04"/>
    <n v="1039"/>
    <x v="0"/>
    <x v="1"/>
    <x v="3"/>
    <n v="32"/>
    <n v="9"/>
    <x v="0"/>
    <n v="4"/>
  </r>
  <r>
    <x v="3"/>
    <s v="2024-01-20"/>
    <n v="1231"/>
    <x v="2"/>
    <x v="3"/>
    <x v="0"/>
    <n v="11"/>
    <n v="3"/>
    <x v="0"/>
    <n v="0"/>
  </r>
  <r>
    <x v="0"/>
    <s v="2024-10-27"/>
    <n v="1368"/>
    <x v="1"/>
    <x v="2"/>
    <x v="2"/>
    <n v="50"/>
    <n v="3"/>
    <x v="3"/>
    <n v="5"/>
  </r>
  <r>
    <x v="3"/>
    <s v="2024-11-11"/>
    <n v="540"/>
    <x v="2"/>
    <x v="3"/>
    <x v="1"/>
    <n v="14"/>
    <n v="6"/>
    <x v="1"/>
    <n v="5"/>
  </r>
  <r>
    <x v="2"/>
    <s v="2024-10-04"/>
    <n v="1239"/>
    <x v="2"/>
    <x v="2"/>
    <x v="3"/>
    <n v="40"/>
    <n v="9"/>
    <x v="1"/>
    <n v="2"/>
  </r>
  <r>
    <x v="1"/>
    <s v="2024-06-11"/>
    <n v="1001"/>
    <x v="0"/>
    <x v="2"/>
    <x v="1"/>
    <n v="38"/>
    <n v="10"/>
    <x v="2"/>
    <n v="4"/>
  </r>
  <r>
    <x v="0"/>
    <s v="2024-07-19"/>
    <n v="1458"/>
    <x v="1"/>
    <x v="0"/>
    <x v="0"/>
    <n v="1"/>
    <n v="10"/>
    <x v="2"/>
    <n v="5"/>
  </r>
  <r>
    <x v="2"/>
    <s v="2024-07-22"/>
    <n v="1668"/>
    <x v="2"/>
    <x v="2"/>
    <x v="2"/>
    <n v="28"/>
    <n v="8"/>
    <x v="1"/>
    <n v="0"/>
  </r>
  <r>
    <x v="1"/>
    <s v="2024-04-15"/>
    <n v="1724"/>
    <x v="1"/>
    <x v="0"/>
    <x v="1"/>
    <n v="40"/>
    <n v="8"/>
    <x v="2"/>
    <n v="0"/>
  </r>
  <r>
    <x v="1"/>
    <s v="2024-07-25"/>
    <n v="1428"/>
    <x v="2"/>
    <x v="0"/>
    <x v="1"/>
    <n v="9"/>
    <n v="4"/>
    <x v="3"/>
    <n v="5"/>
  </r>
  <r>
    <x v="3"/>
    <s v="2024-10-12"/>
    <n v="960"/>
    <x v="2"/>
    <x v="0"/>
    <x v="1"/>
    <n v="1"/>
    <n v="9"/>
    <x v="1"/>
    <n v="1"/>
  </r>
  <r>
    <x v="2"/>
    <s v="2024-03-14"/>
    <n v="1231"/>
    <x v="1"/>
    <x v="1"/>
    <x v="0"/>
    <n v="50"/>
    <n v="0"/>
    <x v="2"/>
    <n v="4"/>
  </r>
  <r>
    <x v="1"/>
    <s v="2024-08-26"/>
    <n v="1251"/>
    <x v="2"/>
    <x v="1"/>
    <x v="1"/>
    <n v="10"/>
    <n v="0"/>
    <x v="0"/>
    <n v="0"/>
  </r>
  <r>
    <x v="0"/>
    <s v="2024-08-13"/>
    <n v="1424"/>
    <x v="1"/>
    <x v="2"/>
    <x v="0"/>
    <n v="12"/>
    <n v="5"/>
    <x v="1"/>
    <n v="5"/>
  </r>
  <r>
    <x v="0"/>
    <s v="2024-06-18"/>
    <n v="1408"/>
    <x v="2"/>
    <x v="0"/>
    <x v="0"/>
    <n v="9"/>
    <n v="1"/>
    <x v="1"/>
    <n v="0"/>
  </r>
  <r>
    <x v="3"/>
    <s v="2024-07-12"/>
    <n v="1776"/>
    <x v="0"/>
    <x v="1"/>
    <x v="0"/>
    <n v="13"/>
    <n v="7"/>
    <x v="0"/>
    <n v="5"/>
  </r>
  <r>
    <x v="1"/>
    <s v="2024-11-13"/>
    <n v="889"/>
    <x v="1"/>
    <x v="0"/>
    <x v="2"/>
    <n v="17"/>
    <n v="8"/>
    <x v="3"/>
    <n v="4"/>
  </r>
  <r>
    <x v="2"/>
    <s v="2024-05-10"/>
    <n v="1382"/>
    <x v="2"/>
    <x v="3"/>
    <x v="2"/>
    <n v="50"/>
    <n v="3"/>
    <x v="0"/>
    <n v="5"/>
  </r>
  <r>
    <x v="0"/>
    <s v="2024-03-16"/>
    <n v="755"/>
    <x v="2"/>
    <x v="3"/>
    <x v="1"/>
    <n v="8"/>
    <n v="4"/>
    <x v="1"/>
    <n v="2"/>
  </r>
  <r>
    <x v="1"/>
    <s v="2024-05-23"/>
    <n v="1208"/>
    <x v="0"/>
    <x v="3"/>
    <x v="1"/>
    <n v="38"/>
    <n v="10"/>
    <x v="3"/>
    <n v="5"/>
  </r>
  <r>
    <x v="1"/>
    <s v="2024-08-11"/>
    <n v="949"/>
    <x v="1"/>
    <x v="2"/>
    <x v="2"/>
    <n v="27"/>
    <n v="7"/>
    <x v="2"/>
    <n v="5"/>
  </r>
  <r>
    <x v="3"/>
    <s v="2024-07-09"/>
    <n v="509"/>
    <x v="2"/>
    <x v="0"/>
    <x v="3"/>
    <n v="2"/>
    <n v="2"/>
    <x v="2"/>
    <n v="4"/>
  </r>
  <r>
    <x v="0"/>
    <s v="2024-03-13"/>
    <n v="1323"/>
    <x v="0"/>
    <x v="3"/>
    <x v="2"/>
    <n v="19"/>
    <n v="4"/>
    <x v="2"/>
    <n v="5"/>
  </r>
  <r>
    <x v="0"/>
    <s v="2024-10-20"/>
    <n v="1297"/>
    <x v="2"/>
    <x v="1"/>
    <x v="0"/>
    <n v="5"/>
    <n v="2"/>
    <x v="1"/>
    <n v="4"/>
  </r>
  <r>
    <x v="2"/>
    <s v="2024-12-21"/>
    <n v="1765"/>
    <x v="1"/>
    <x v="3"/>
    <x v="2"/>
    <n v="26"/>
    <n v="9"/>
    <x v="0"/>
    <n v="2"/>
  </r>
  <r>
    <x v="0"/>
    <s v="2024-04-19"/>
    <n v="1774"/>
    <x v="2"/>
    <x v="3"/>
    <x v="0"/>
    <n v="1"/>
    <n v="2"/>
    <x v="3"/>
    <n v="4"/>
  </r>
  <r>
    <x v="2"/>
    <s v="2024-09-02"/>
    <n v="1376"/>
    <x v="2"/>
    <x v="3"/>
    <x v="1"/>
    <n v="28"/>
    <n v="2"/>
    <x v="2"/>
    <n v="0"/>
  </r>
  <r>
    <x v="0"/>
    <s v="2024-03-03"/>
    <n v="1528"/>
    <x v="2"/>
    <x v="2"/>
    <x v="3"/>
    <n v="37"/>
    <n v="6"/>
    <x v="3"/>
    <n v="4"/>
  </r>
  <r>
    <x v="3"/>
    <s v="2024-02-02"/>
    <n v="1642"/>
    <x v="2"/>
    <x v="1"/>
    <x v="1"/>
    <n v="2"/>
    <n v="6"/>
    <x v="1"/>
    <n v="2"/>
  </r>
  <r>
    <x v="0"/>
    <s v="2024-07-15"/>
    <n v="1515"/>
    <x v="0"/>
    <x v="0"/>
    <x v="0"/>
    <n v="15"/>
    <n v="6"/>
    <x v="2"/>
    <n v="3"/>
  </r>
  <r>
    <x v="2"/>
    <s v="2024-06-05"/>
    <n v="873"/>
    <x v="0"/>
    <x v="1"/>
    <x v="0"/>
    <n v="29"/>
    <n v="9"/>
    <x v="1"/>
    <n v="5"/>
  </r>
  <r>
    <x v="2"/>
    <s v="2024-02-10"/>
    <n v="1588"/>
    <x v="1"/>
    <x v="0"/>
    <x v="0"/>
    <n v="39"/>
    <n v="7"/>
    <x v="0"/>
    <n v="4"/>
  </r>
  <r>
    <x v="3"/>
    <s v="2024-09-21"/>
    <n v="645"/>
    <x v="0"/>
    <x v="2"/>
    <x v="3"/>
    <n v="1"/>
    <n v="4"/>
    <x v="1"/>
    <n v="5"/>
  </r>
  <r>
    <x v="0"/>
    <s v="2024-12-09"/>
    <n v="723"/>
    <x v="0"/>
    <x v="2"/>
    <x v="2"/>
    <n v="16"/>
    <n v="4"/>
    <x v="1"/>
    <n v="1"/>
  </r>
  <r>
    <x v="0"/>
    <s v="2024-11-10"/>
    <n v="1762"/>
    <x v="1"/>
    <x v="2"/>
    <x v="1"/>
    <n v="40"/>
    <n v="3"/>
    <x v="0"/>
    <n v="0"/>
  </r>
  <r>
    <x v="3"/>
    <s v="2024-02-26"/>
    <n v="676"/>
    <x v="0"/>
    <x v="2"/>
    <x v="1"/>
    <n v="11"/>
    <n v="6"/>
    <x v="3"/>
    <n v="0"/>
  </r>
  <r>
    <x v="0"/>
    <s v="2024-12-14"/>
    <n v="1352"/>
    <x v="0"/>
    <x v="0"/>
    <x v="2"/>
    <n v="34"/>
    <n v="9"/>
    <x v="0"/>
    <n v="1"/>
  </r>
  <r>
    <x v="0"/>
    <s v="2024-06-02"/>
    <n v="1805"/>
    <x v="1"/>
    <x v="3"/>
    <x v="1"/>
    <n v="42"/>
    <n v="3"/>
    <x v="0"/>
    <n v="1"/>
  </r>
  <r>
    <x v="2"/>
    <s v="2024-01-17"/>
    <n v="562"/>
    <x v="1"/>
    <x v="0"/>
    <x v="3"/>
    <n v="0"/>
    <n v="1"/>
    <x v="1"/>
    <n v="4"/>
  </r>
  <r>
    <x v="0"/>
    <s v="2024-02-14"/>
    <n v="1740"/>
    <x v="1"/>
    <x v="1"/>
    <x v="1"/>
    <n v="44"/>
    <n v="3"/>
    <x v="3"/>
    <n v="1"/>
  </r>
  <r>
    <x v="0"/>
    <s v="2024-07-13"/>
    <n v="1326"/>
    <x v="2"/>
    <x v="2"/>
    <x v="0"/>
    <n v="14"/>
    <n v="7"/>
    <x v="2"/>
    <n v="3"/>
  </r>
  <r>
    <x v="3"/>
    <s v="2024-12-05"/>
    <n v="1294"/>
    <x v="2"/>
    <x v="2"/>
    <x v="2"/>
    <n v="25"/>
    <n v="8"/>
    <x v="0"/>
    <n v="5"/>
  </r>
  <r>
    <x v="3"/>
    <s v="2024-12-11"/>
    <n v="1188"/>
    <x v="1"/>
    <x v="1"/>
    <x v="3"/>
    <n v="36"/>
    <n v="2"/>
    <x v="3"/>
    <n v="5"/>
  </r>
  <r>
    <x v="1"/>
    <s v="2024-03-11"/>
    <n v="1984"/>
    <x v="1"/>
    <x v="0"/>
    <x v="2"/>
    <n v="20"/>
    <n v="6"/>
    <x v="0"/>
    <n v="2"/>
  </r>
  <r>
    <x v="2"/>
    <s v="2024-06-08"/>
    <n v="604"/>
    <x v="1"/>
    <x v="3"/>
    <x v="3"/>
    <n v="48"/>
    <n v="8"/>
    <x v="0"/>
    <n v="1"/>
  </r>
  <r>
    <x v="0"/>
    <s v="2024-04-06"/>
    <n v="1622"/>
    <x v="2"/>
    <x v="3"/>
    <x v="0"/>
    <n v="30"/>
    <n v="10"/>
    <x v="0"/>
    <n v="1"/>
  </r>
  <r>
    <x v="0"/>
    <s v="2024-01-19"/>
    <n v="1010"/>
    <x v="2"/>
    <x v="1"/>
    <x v="2"/>
    <n v="24"/>
    <n v="3"/>
    <x v="0"/>
    <n v="3"/>
  </r>
  <r>
    <x v="1"/>
    <s v="2024-08-12"/>
    <n v="884"/>
    <x v="0"/>
    <x v="3"/>
    <x v="1"/>
    <n v="22"/>
    <n v="9"/>
    <x v="1"/>
    <n v="0"/>
  </r>
  <r>
    <x v="0"/>
    <s v="2024-11-02"/>
    <n v="904"/>
    <x v="0"/>
    <x v="0"/>
    <x v="3"/>
    <n v="23"/>
    <n v="2"/>
    <x v="3"/>
    <n v="0"/>
  </r>
  <r>
    <x v="2"/>
    <s v="2024-11-19"/>
    <n v="1322"/>
    <x v="1"/>
    <x v="0"/>
    <x v="2"/>
    <n v="37"/>
    <n v="4"/>
    <x v="3"/>
    <n v="5"/>
  </r>
  <r>
    <x v="1"/>
    <s v="2024-01-28"/>
    <n v="1017"/>
    <x v="2"/>
    <x v="1"/>
    <x v="1"/>
    <n v="27"/>
    <n v="0"/>
    <x v="3"/>
    <n v="5"/>
  </r>
  <r>
    <x v="2"/>
    <s v="2024-10-05"/>
    <n v="975"/>
    <x v="2"/>
    <x v="0"/>
    <x v="2"/>
    <n v="20"/>
    <n v="2"/>
    <x v="0"/>
    <n v="4"/>
  </r>
  <r>
    <x v="1"/>
    <s v="2024-12-18"/>
    <n v="1208"/>
    <x v="2"/>
    <x v="2"/>
    <x v="2"/>
    <n v="42"/>
    <n v="7"/>
    <x v="1"/>
    <n v="3"/>
  </r>
  <r>
    <x v="1"/>
    <s v="2024-08-21"/>
    <n v="1270"/>
    <x v="1"/>
    <x v="1"/>
    <x v="2"/>
    <n v="17"/>
    <n v="10"/>
    <x v="0"/>
    <n v="2"/>
  </r>
  <r>
    <x v="3"/>
    <s v="2024-10-26"/>
    <n v="1960"/>
    <x v="0"/>
    <x v="0"/>
    <x v="3"/>
    <n v="35"/>
    <n v="7"/>
    <x v="0"/>
    <n v="2"/>
  </r>
  <r>
    <x v="2"/>
    <s v="2024-01-04"/>
    <n v="1546"/>
    <x v="1"/>
    <x v="1"/>
    <x v="1"/>
    <n v="34"/>
    <n v="3"/>
    <x v="3"/>
    <n v="3"/>
  </r>
  <r>
    <x v="0"/>
    <s v="2024-04-07"/>
    <n v="1496"/>
    <x v="0"/>
    <x v="3"/>
    <x v="0"/>
    <n v="44"/>
    <n v="1"/>
    <x v="0"/>
    <n v="2"/>
  </r>
  <r>
    <x v="0"/>
    <s v="2024-09-04"/>
    <n v="1176"/>
    <x v="0"/>
    <x v="0"/>
    <x v="3"/>
    <n v="8"/>
    <n v="7"/>
    <x v="2"/>
    <n v="0"/>
  </r>
  <r>
    <x v="2"/>
    <s v="2024-11-27"/>
    <n v="1213"/>
    <x v="1"/>
    <x v="2"/>
    <x v="3"/>
    <n v="37"/>
    <n v="7"/>
    <x v="0"/>
    <n v="2"/>
  </r>
  <r>
    <x v="0"/>
    <s v="2024-05-09"/>
    <n v="1981"/>
    <x v="0"/>
    <x v="0"/>
    <x v="3"/>
    <n v="29"/>
    <n v="9"/>
    <x v="2"/>
    <n v="2"/>
  </r>
  <r>
    <x v="0"/>
    <s v="2024-04-20"/>
    <n v="582"/>
    <x v="0"/>
    <x v="1"/>
    <x v="0"/>
    <n v="43"/>
    <n v="3"/>
    <x v="0"/>
    <n v="3"/>
  </r>
  <r>
    <x v="2"/>
    <s v="2024-12-19"/>
    <n v="1668"/>
    <x v="2"/>
    <x v="1"/>
    <x v="1"/>
    <n v="33"/>
    <n v="2"/>
    <x v="1"/>
    <n v="3"/>
  </r>
  <r>
    <x v="1"/>
    <s v="2024-10-18"/>
    <n v="1608"/>
    <x v="0"/>
    <x v="0"/>
    <x v="1"/>
    <n v="31"/>
    <n v="1"/>
    <x v="1"/>
    <n v="2"/>
  </r>
  <r>
    <x v="2"/>
    <s v="2024-03-08"/>
    <n v="1601"/>
    <x v="1"/>
    <x v="2"/>
    <x v="1"/>
    <n v="2"/>
    <n v="8"/>
    <x v="3"/>
    <n v="1"/>
  </r>
  <r>
    <x v="1"/>
    <s v="2024-01-05"/>
    <n v="956"/>
    <x v="1"/>
    <x v="2"/>
    <x v="2"/>
    <n v="2"/>
    <n v="0"/>
    <x v="0"/>
    <n v="3"/>
  </r>
  <r>
    <x v="0"/>
    <s v="2024-11-15"/>
    <n v="500"/>
    <x v="0"/>
    <x v="2"/>
    <x v="2"/>
    <n v="27"/>
    <n v="6"/>
    <x v="2"/>
    <n v="4"/>
  </r>
  <r>
    <x v="0"/>
    <s v="2024-03-17"/>
    <n v="550"/>
    <x v="2"/>
    <x v="1"/>
    <x v="2"/>
    <n v="43"/>
    <n v="4"/>
    <x v="2"/>
    <n v="4"/>
  </r>
  <r>
    <x v="0"/>
    <s v="2024-03-20"/>
    <n v="1184"/>
    <x v="2"/>
    <x v="0"/>
    <x v="0"/>
    <n v="14"/>
    <n v="7"/>
    <x v="0"/>
    <n v="0"/>
  </r>
  <r>
    <x v="3"/>
    <s v="2024-08-25"/>
    <n v="1216"/>
    <x v="0"/>
    <x v="3"/>
    <x v="2"/>
    <n v="40"/>
    <n v="3"/>
    <x v="2"/>
    <n v="2"/>
  </r>
  <r>
    <x v="1"/>
    <s v="2024-12-07"/>
    <n v="1969"/>
    <x v="0"/>
    <x v="1"/>
    <x v="0"/>
    <n v="22"/>
    <n v="6"/>
    <x v="1"/>
    <n v="1"/>
  </r>
  <r>
    <x v="3"/>
    <s v="2024-07-26"/>
    <n v="948"/>
    <x v="1"/>
    <x v="2"/>
    <x v="1"/>
    <n v="39"/>
    <n v="4"/>
    <x v="2"/>
    <n v="0"/>
  </r>
  <r>
    <x v="3"/>
    <s v="2024-12-24"/>
    <n v="1380"/>
    <x v="0"/>
    <x v="0"/>
    <x v="2"/>
    <n v="10"/>
    <n v="4"/>
    <x v="3"/>
    <n v="2"/>
  </r>
  <r>
    <x v="2"/>
    <s v="2024-02-24"/>
    <n v="987"/>
    <x v="2"/>
    <x v="2"/>
    <x v="2"/>
    <n v="47"/>
    <n v="8"/>
    <x v="1"/>
    <n v="3"/>
  </r>
  <r>
    <x v="3"/>
    <s v="2024-02-06"/>
    <n v="533"/>
    <x v="0"/>
    <x v="3"/>
    <x v="3"/>
    <n v="31"/>
    <n v="8"/>
    <x v="1"/>
    <n v="4"/>
  </r>
  <r>
    <x v="2"/>
    <s v="2024-07-18"/>
    <n v="1871"/>
    <x v="1"/>
    <x v="2"/>
    <x v="0"/>
    <n v="35"/>
    <n v="8"/>
    <x v="1"/>
    <n v="5"/>
  </r>
  <r>
    <x v="2"/>
    <s v="2024-08-11"/>
    <n v="594"/>
    <x v="1"/>
    <x v="2"/>
    <x v="1"/>
    <n v="32"/>
    <n v="5"/>
    <x v="0"/>
    <n v="1"/>
  </r>
  <r>
    <x v="3"/>
    <s v="2024-09-11"/>
    <n v="1595"/>
    <x v="1"/>
    <x v="3"/>
    <x v="3"/>
    <n v="23"/>
    <n v="5"/>
    <x v="0"/>
    <n v="5"/>
  </r>
  <r>
    <x v="1"/>
    <s v="2024-06-23"/>
    <n v="653"/>
    <x v="1"/>
    <x v="0"/>
    <x v="3"/>
    <n v="38"/>
    <n v="4"/>
    <x v="1"/>
    <n v="4"/>
  </r>
  <r>
    <x v="1"/>
    <s v="2024-08-23"/>
    <n v="749"/>
    <x v="1"/>
    <x v="1"/>
    <x v="1"/>
    <n v="33"/>
    <n v="8"/>
    <x v="0"/>
    <n v="5"/>
  </r>
  <r>
    <x v="1"/>
    <s v="2024-11-14"/>
    <n v="1173"/>
    <x v="0"/>
    <x v="0"/>
    <x v="3"/>
    <n v="27"/>
    <n v="9"/>
    <x v="2"/>
    <n v="3"/>
  </r>
  <r>
    <x v="1"/>
    <s v="2024-07-02"/>
    <n v="937"/>
    <x v="0"/>
    <x v="3"/>
    <x v="0"/>
    <n v="36"/>
    <n v="7"/>
    <x v="0"/>
    <n v="2"/>
  </r>
  <r>
    <x v="1"/>
    <s v="2024-11-19"/>
    <n v="617"/>
    <x v="0"/>
    <x v="2"/>
    <x v="0"/>
    <n v="6"/>
    <n v="6"/>
    <x v="0"/>
    <n v="3"/>
  </r>
  <r>
    <x v="3"/>
    <s v="2024-08-20"/>
    <n v="1270"/>
    <x v="0"/>
    <x v="0"/>
    <x v="2"/>
    <n v="3"/>
    <n v="6"/>
    <x v="1"/>
    <n v="5"/>
  </r>
  <r>
    <x v="3"/>
    <s v="2024-08-30"/>
    <n v="1829"/>
    <x v="1"/>
    <x v="1"/>
    <x v="3"/>
    <n v="36"/>
    <n v="5"/>
    <x v="3"/>
    <n v="3"/>
  </r>
  <r>
    <x v="0"/>
    <s v="2024-09-23"/>
    <n v="767"/>
    <x v="2"/>
    <x v="3"/>
    <x v="2"/>
    <n v="0"/>
    <n v="4"/>
    <x v="3"/>
    <n v="4"/>
  </r>
  <r>
    <x v="1"/>
    <s v="2024-02-27"/>
    <n v="1577"/>
    <x v="0"/>
    <x v="0"/>
    <x v="3"/>
    <n v="0"/>
    <n v="3"/>
    <x v="3"/>
    <n v="1"/>
  </r>
  <r>
    <x v="3"/>
    <s v="2024-05-09"/>
    <n v="735"/>
    <x v="2"/>
    <x v="1"/>
    <x v="0"/>
    <n v="46"/>
    <n v="2"/>
    <x v="2"/>
    <n v="3"/>
  </r>
  <r>
    <x v="0"/>
    <s v="2024-08-10"/>
    <n v="888"/>
    <x v="0"/>
    <x v="3"/>
    <x v="0"/>
    <n v="19"/>
    <n v="2"/>
    <x v="0"/>
    <n v="4"/>
  </r>
  <r>
    <x v="1"/>
    <s v="2024-10-19"/>
    <n v="1489"/>
    <x v="0"/>
    <x v="1"/>
    <x v="0"/>
    <n v="18"/>
    <n v="5"/>
    <x v="3"/>
    <n v="1"/>
  </r>
  <r>
    <x v="2"/>
    <s v="2024-05-15"/>
    <n v="1262"/>
    <x v="2"/>
    <x v="3"/>
    <x v="3"/>
    <n v="28"/>
    <n v="3"/>
    <x v="1"/>
    <n v="2"/>
  </r>
  <r>
    <x v="0"/>
    <s v="2024-10-26"/>
    <n v="900"/>
    <x v="1"/>
    <x v="2"/>
    <x v="0"/>
    <n v="9"/>
    <n v="5"/>
    <x v="3"/>
    <n v="5"/>
  </r>
  <r>
    <x v="3"/>
    <s v="2024-03-25"/>
    <n v="1123"/>
    <x v="0"/>
    <x v="0"/>
    <x v="3"/>
    <n v="17"/>
    <n v="2"/>
    <x v="3"/>
    <n v="2"/>
  </r>
  <r>
    <x v="2"/>
    <s v="2024-03-24"/>
    <n v="1266"/>
    <x v="0"/>
    <x v="1"/>
    <x v="2"/>
    <n v="27"/>
    <n v="3"/>
    <x v="0"/>
    <n v="0"/>
  </r>
  <r>
    <x v="2"/>
    <s v="2024-11-05"/>
    <n v="1826"/>
    <x v="0"/>
    <x v="3"/>
    <x v="3"/>
    <n v="34"/>
    <n v="8"/>
    <x v="0"/>
    <n v="4"/>
  </r>
  <r>
    <x v="2"/>
    <s v="2024-03-15"/>
    <n v="1418"/>
    <x v="2"/>
    <x v="1"/>
    <x v="2"/>
    <n v="42"/>
    <n v="4"/>
    <x v="0"/>
    <n v="1"/>
  </r>
  <r>
    <x v="0"/>
    <s v="2024-08-26"/>
    <n v="1730"/>
    <x v="1"/>
    <x v="1"/>
    <x v="3"/>
    <n v="46"/>
    <n v="6"/>
    <x v="2"/>
    <n v="3"/>
  </r>
  <r>
    <x v="3"/>
    <s v="2024-10-25"/>
    <n v="1752"/>
    <x v="2"/>
    <x v="0"/>
    <x v="2"/>
    <n v="30"/>
    <n v="9"/>
    <x v="2"/>
    <n v="2"/>
  </r>
  <r>
    <x v="2"/>
    <s v="2024-03-22"/>
    <n v="1352"/>
    <x v="2"/>
    <x v="2"/>
    <x v="0"/>
    <n v="26"/>
    <n v="1"/>
    <x v="3"/>
    <n v="1"/>
  </r>
  <r>
    <x v="1"/>
    <s v="2024-04-19"/>
    <n v="1077"/>
    <x v="1"/>
    <x v="1"/>
    <x v="2"/>
    <n v="10"/>
    <n v="4"/>
    <x v="0"/>
    <n v="4"/>
  </r>
  <r>
    <x v="2"/>
    <s v="2024-02-12"/>
    <n v="574"/>
    <x v="2"/>
    <x v="3"/>
    <x v="0"/>
    <n v="48"/>
    <n v="8"/>
    <x v="3"/>
    <n v="0"/>
  </r>
  <r>
    <x v="2"/>
    <s v="2024-04-25"/>
    <n v="934"/>
    <x v="1"/>
    <x v="3"/>
    <x v="0"/>
    <n v="48"/>
    <n v="10"/>
    <x v="1"/>
    <n v="2"/>
  </r>
  <r>
    <x v="0"/>
    <s v="2024-04-16"/>
    <n v="602"/>
    <x v="0"/>
    <x v="2"/>
    <x v="2"/>
    <n v="37"/>
    <n v="2"/>
    <x v="1"/>
    <n v="5"/>
  </r>
  <r>
    <x v="0"/>
    <s v="2024-09-12"/>
    <n v="1945"/>
    <x v="1"/>
    <x v="3"/>
    <x v="3"/>
    <n v="4"/>
    <n v="8"/>
    <x v="0"/>
    <n v="1"/>
  </r>
  <r>
    <x v="3"/>
    <s v="2024-02-07"/>
    <n v="1263"/>
    <x v="0"/>
    <x v="2"/>
    <x v="3"/>
    <n v="7"/>
    <n v="10"/>
    <x v="0"/>
    <n v="5"/>
  </r>
  <r>
    <x v="1"/>
    <s v="2024-04-10"/>
    <n v="1237"/>
    <x v="2"/>
    <x v="3"/>
    <x v="1"/>
    <n v="33"/>
    <n v="5"/>
    <x v="1"/>
    <n v="1"/>
  </r>
  <r>
    <x v="0"/>
    <s v="2024-08-31"/>
    <n v="1305"/>
    <x v="2"/>
    <x v="0"/>
    <x v="3"/>
    <n v="47"/>
    <n v="3"/>
    <x v="0"/>
    <n v="1"/>
  </r>
  <r>
    <x v="2"/>
    <s v="2024-10-13"/>
    <n v="1829"/>
    <x v="0"/>
    <x v="1"/>
    <x v="1"/>
    <n v="11"/>
    <n v="6"/>
    <x v="2"/>
    <n v="4"/>
  </r>
  <r>
    <x v="3"/>
    <s v="2024-03-06"/>
    <n v="597"/>
    <x v="2"/>
    <x v="0"/>
    <x v="3"/>
    <n v="37"/>
    <n v="7"/>
    <x v="2"/>
    <n v="4"/>
  </r>
  <r>
    <x v="2"/>
    <s v="2024-02-23"/>
    <n v="1297"/>
    <x v="1"/>
    <x v="1"/>
    <x v="3"/>
    <n v="0"/>
    <n v="5"/>
    <x v="0"/>
    <n v="4"/>
  </r>
  <r>
    <x v="2"/>
    <s v="2024-07-29"/>
    <n v="1858"/>
    <x v="0"/>
    <x v="1"/>
    <x v="0"/>
    <n v="30"/>
    <n v="4"/>
    <x v="1"/>
    <n v="3"/>
  </r>
  <r>
    <x v="0"/>
    <s v="2024-09-24"/>
    <n v="1358"/>
    <x v="2"/>
    <x v="1"/>
    <x v="1"/>
    <n v="3"/>
    <n v="5"/>
    <x v="3"/>
    <n v="1"/>
  </r>
  <r>
    <x v="3"/>
    <s v="2024-05-06"/>
    <n v="934"/>
    <x v="0"/>
    <x v="0"/>
    <x v="3"/>
    <n v="48"/>
    <n v="4"/>
    <x v="0"/>
    <n v="2"/>
  </r>
  <r>
    <x v="1"/>
    <s v="2024-08-16"/>
    <n v="946"/>
    <x v="1"/>
    <x v="1"/>
    <x v="1"/>
    <n v="44"/>
    <n v="7"/>
    <x v="0"/>
    <n v="5"/>
  </r>
  <r>
    <x v="1"/>
    <s v="2024-12-20"/>
    <n v="1831"/>
    <x v="1"/>
    <x v="0"/>
    <x v="0"/>
    <n v="49"/>
    <n v="0"/>
    <x v="3"/>
    <n v="4"/>
  </r>
  <r>
    <x v="0"/>
    <s v="2024-10-31"/>
    <n v="748"/>
    <x v="2"/>
    <x v="2"/>
    <x v="0"/>
    <n v="4"/>
    <n v="10"/>
    <x v="0"/>
    <n v="4"/>
  </r>
  <r>
    <x v="0"/>
    <s v="2024-07-24"/>
    <n v="665"/>
    <x v="1"/>
    <x v="3"/>
    <x v="1"/>
    <n v="29"/>
    <n v="6"/>
    <x v="3"/>
    <n v="5"/>
  </r>
  <r>
    <x v="3"/>
    <s v="2024-06-03"/>
    <n v="1483"/>
    <x v="0"/>
    <x v="3"/>
    <x v="0"/>
    <n v="23"/>
    <n v="9"/>
    <x v="1"/>
    <n v="5"/>
  </r>
  <r>
    <x v="1"/>
    <s v="2024-08-07"/>
    <n v="1858"/>
    <x v="1"/>
    <x v="1"/>
    <x v="2"/>
    <n v="2"/>
    <n v="9"/>
    <x v="2"/>
    <n v="1"/>
  </r>
  <r>
    <x v="1"/>
    <s v="2024-12-26"/>
    <n v="1519"/>
    <x v="0"/>
    <x v="0"/>
    <x v="2"/>
    <n v="10"/>
    <n v="10"/>
    <x v="1"/>
    <n v="4"/>
  </r>
  <r>
    <x v="1"/>
    <s v="2024-08-11"/>
    <n v="1041"/>
    <x v="0"/>
    <x v="3"/>
    <x v="0"/>
    <n v="44"/>
    <n v="1"/>
    <x v="2"/>
    <n v="5"/>
  </r>
  <r>
    <x v="2"/>
    <s v="2024-09-07"/>
    <n v="1258"/>
    <x v="1"/>
    <x v="0"/>
    <x v="2"/>
    <n v="3"/>
    <n v="8"/>
    <x v="3"/>
    <n v="3"/>
  </r>
  <r>
    <x v="1"/>
    <s v="2024-01-30"/>
    <n v="1629"/>
    <x v="2"/>
    <x v="0"/>
    <x v="3"/>
    <n v="25"/>
    <n v="0"/>
    <x v="2"/>
    <n v="3"/>
  </r>
  <r>
    <x v="2"/>
    <s v="2024-02-28"/>
    <n v="580"/>
    <x v="1"/>
    <x v="1"/>
    <x v="1"/>
    <n v="26"/>
    <n v="10"/>
    <x v="1"/>
    <n v="4"/>
  </r>
  <r>
    <x v="3"/>
    <s v="2024-07-08"/>
    <n v="632"/>
    <x v="0"/>
    <x v="3"/>
    <x v="3"/>
    <n v="45"/>
    <n v="9"/>
    <x v="2"/>
    <n v="5"/>
  </r>
  <r>
    <x v="2"/>
    <s v="2024-10-14"/>
    <n v="1296"/>
    <x v="0"/>
    <x v="1"/>
    <x v="1"/>
    <n v="42"/>
    <n v="5"/>
    <x v="3"/>
    <n v="1"/>
  </r>
  <r>
    <x v="3"/>
    <s v="2024-03-21"/>
    <n v="1399"/>
    <x v="1"/>
    <x v="1"/>
    <x v="0"/>
    <n v="26"/>
    <n v="8"/>
    <x v="2"/>
    <n v="1"/>
  </r>
  <r>
    <x v="1"/>
    <s v="2024-02-04"/>
    <n v="637"/>
    <x v="2"/>
    <x v="3"/>
    <x v="3"/>
    <n v="41"/>
    <n v="0"/>
    <x v="0"/>
    <n v="1"/>
  </r>
  <r>
    <x v="1"/>
    <s v="2024-08-18"/>
    <n v="683"/>
    <x v="2"/>
    <x v="3"/>
    <x v="0"/>
    <n v="50"/>
    <n v="3"/>
    <x v="1"/>
    <n v="0"/>
  </r>
  <r>
    <x v="3"/>
    <s v="2024-12-28"/>
    <n v="1924"/>
    <x v="0"/>
    <x v="2"/>
    <x v="0"/>
    <n v="49"/>
    <n v="3"/>
    <x v="0"/>
    <n v="4"/>
  </r>
  <r>
    <x v="0"/>
    <s v="2024-07-17"/>
    <n v="1853"/>
    <x v="0"/>
    <x v="2"/>
    <x v="1"/>
    <n v="5"/>
    <n v="8"/>
    <x v="3"/>
    <n v="1"/>
  </r>
  <r>
    <x v="3"/>
    <s v="2024-03-24"/>
    <n v="1284"/>
    <x v="2"/>
    <x v="0"/>
    <x v="1"/>
    <n v="14"/>
    <n v="10"/>
    <x v="2"/>
    <n v="3"/>
  </r>
  <r>
    <x v="0"/>
    <s v="2024-02-15"/>
    <n v="1483"/>
    <x v="1"/>
    <x v="3"/>
    <x v="1"/>
    <n v="29"/>
    <n v="4"/>
    <x v="0"/>
    <n v="5"/>
  </r>
  <r>
    <x v="2"/>
    <s v="2024-06-07"/>
    <n v="568"/>
    <x v="0"/>
    <x v="2"/>
    <x v="3"/>
    <n v="41"/>
    <n v="4"/>
    <x v="0"/>
    <n v="2"/>
  </r>
  <r>
    <x v="2"/>
    <s v="2024-08-23"/>
    <n v="1045"/>
    <x v="0"/>
    <x v="0"/>
    <x v="2"/>
    <n v="36"/>
    <n v="5"/>
    <x v="2"/>
    <n v="2"/>
  </r>
  <r>
    <x v="2"/>
    <s v="2024-10-11"/>
    <n v="552"/>
    <x v="2"/>
    <x v="0"/>
    <x v="1"/>
    <n v="36"/>
    <n v="0"/>
    <x v="2"/>
    <n v="1"/>
  </r>
  <r>
    <x v="1"/>
    <s v="2024-05-21"/>
    <n v="1973"/>
    <x v="1"/>
    <x v="0"/>
    <x v="1"/>
    <n v="41"/>
    <n v="0"/>
    <x v="1"/>
    <n v="2"/>
  </r>
  <r>
    <x v="2"/>
    <s v="2024-05-15"/>
    <n v="704"/>
    <x v="2"/>
    <x v="2"/>
    <x v="3"/>
    <n v="36"/>
    <n v="8"/>
    <x v="0"/>
    <n v="2"/>
  </r>
  <r>
    <x v="0"/>
    <s v="2024-06-22"/>
    <n v="625"/>
    <x v="1"/>
    <x v="3"/>
    <x v="1"/>
    <n v="34"/>
    <n v="2"/>
    <x v="0"/>
    <n v="0"/>
  </r>
  <r>
    <x v="2"/>
    <s v="2024-03-24"/>
    <n v="542"/>
    <x v="1"/>
    <x v="1"/>
    <x v="3"/>
    <n v="22"/>
    <n v="3"/>
    <x v="3"/>
    <n v="3"/>
  </r>
  <r>
    <x v="3"/>
    <s v="2024-01-03"/>
    <n v="610"/>
    <x v="1"/>
    <x v="0"/>
    <x v="0"/>
    <n v="5"/>
    <n v="0"/>
    <x v="1"/>
    <n v="3"/>
  </r>
  <r>
    <x v="3"/>
    <s v="2024-03-23"/>
    <n v="1260"/>
    <x v="0"/>
    <x v="2"/>
    <x v="1"/>
    <n v="3"/>
    <n v="8"/>
    <x v="3"/>
    <n v="0"/>
  </r>
  <r>
    <x v="1"/>
    <s v="2024-05-07"/>
    <n v="1706"/>
    <x v="2"/>
    <x v="2"/>
    <x v="1"/>
    <n v="17"/>
    <n v="7"/>
    <x v="0"/>
    <n v="0"/>
  </r>
  <r>
    <x v="3"/>
    <s v="2024-10-11"/>
    <n v="1347"/>
    <x v="2"/>
    <x v="1"/>
    <x v="0"/>
    <n v="8"/>
    <n v="1"/>
    <x v="3"/>
    <n v="2"/>
  </r>
  <r>
    <x v="0"/>
    <s v="2024-04-29"/>
    <n v="594"/>
    <x v="1"/>
    <x v="1"/>
    <x v="0"/>
    <n v="48"/>
    <n v="7"/>
    <x v="0"/>
    <n v="4"/>
  </r>
  <r>
    <x v="2"/>
    <s v="2024-01-23"/>
    <n v="1897"/>
    <x v="0"/>
    <x v="2"/>
    <x v="0"/>
    <n v="28"/>
    <n v="6"/>
    <x v="0"/>
    <n v="5"/>
  </r>
  <r>
    <x v="1"/>
    <s v="2024-09-23"/>
    <n v="1399"/>
    <x v="0"/>
    <x v="3"/>
    <x v="1"/>
    <n v="12"/>
    <n v="10"/>
    <x v="3"/>
    <n v="5"/>
  </r>
  <r>
    <x v="2"/>
    <s v="2024-01-01"/>
    <n v="859"/>
    <x v="2"/>
    <x v="1"/>
    <x v="2"/>
    <n v="46"/>
    <n v="5"/>
    <x v="3"/>
    <n v="2"/>
  </r>
  <r>
    <x v="2"/>
    <s v="2024-12-19"/>
    <n v="1399"/>
    <x v="0"/>
    <x v="2"/>
    <x v="2"/>
    <n v="16"/>
    <n v="0"/>
    <x v="2"/>
    <n v="5"/>
  </r>
  <r>
    <x v="0"/>
    <s v="2024-01-22"/>
    <n v="780"/>
    <x v="0"/>
    <x v="1"/>
    <x v="2"/>
    <n v="44"/>
    <n v="6"/>
    <x v="2"/>
    <n v="0"/>
  </r>
  <r>
    <x v="3"/>
    <s v="2024-10-08"/>
    <n v="1718"/>
    <x v="1"/>
    <x v="3"/>
    <x v="1"/>
    <n v="31"/>
    <n v="9"/>
    <x v="2"/>
    <n v="3"/>
  </r>
  <r>
    <x v="3"/>
    <s v="2024-08-03"/>
    <n v="1718"/>
    <x v="0"/>
    <x v="0"/>
    <x v="0"/>
    <n v="47"/>
    <n v="6"/>
    <x v="0"/>
    <n v="5"/>
  </r>
  <r>
    <x v="2"/>
    <s v="2024-02-27"/>
    <n v="1166"/>
    <x v="1"/>
    <x v="1"/>
    <x v="1"/>
    <n v="21"/>
    <n v="8"/>
    <x v="3"/>
    <n v="2"/>
  </r>
  <r>
    <x v="1"/>
    <s v="2024-11-07"/>
    <n v="592"/>
    <x v="2"/>
    <x v="3"/>
    <x v="0"/>
    <n v="3"/>
    <n v="0"/>
    <x v="1"/>
    <n v="4"/>
  </r>
  <r>
    <x v="3"/>
    <s v="2024-11-05"/>
    <n v="1171"/>
    <x v="0"/>
    <x v="2"/>
    <x v="1"/>
    <n v="4"/>
    <n v="1"/>
    <x v="0"/>
    <n v="2"/>
  </r>
  <r>
    <x v="1"/>
    <s v="2024-07-20"/>
    <n v="560"/>
    <x v="2"/>
    <x v="1"/>
    <x v="1"/>
    <n v="36"/>
    <n v="10"/>
    <x v="1"/>
    <n v="1"/>
  </r>
  <r>
    <x v="3"/>
    <s v="2024-12-17"/>
    <n v="1133"/>
    <x v="2"/>
    <x v="1"/>
    <x v="0"/>
    <n v="40"/>
    <n v="8"/>
    <x v="3"/>
    <n v="2"/>
  </r>
  <r>
    <x v="1"/>
    <s v="2024-01-15"/>
    <n v="1574"/>
    <x v="0"/>
    <x v="2"/>
    <x v="2"/>
    <n v="48"/>
    <n v="8"/>
    <x v="0"/>
    <n v="0"/>
  </r>
  <r>
    <x v="0"/>
    <s v="2024-10-25"/>
    <n v="1926"/>
    <x v="0"/>
    <x v="0"/>
    <x v="0"/>
    <n v="12"/>
    <n v="5"/>
    <x v="1"/>
    <n v="3"/>
  </r>
  <r>
    <x v="1"/>
    <s v="2024-09-18"/>
    <n v="1528"/>
    <x v="2"/>
    <x v="2"/>
    <x v="3"/>
    <n v="33"/>
    <n v="5"/>
    <x v="1"/>
    <n v="3"/>
  </r>
  <r>
    <x v="0"/>
    <s v="2024-07-10"/>
    <n v="1989"/>
    <x v="0"/>
    <x v="1"/>
    <x v="3"/>
    <n v="44"/>
    <n v="3"/>
    <x v="2"/>
    <n v="5"/>
  </r>
  <r>
    <x v="0"/>
    <s v="2024-04-02"/>
    <n v="1103"/>
    <x v="1"/>
    <x v="2"/>
    <x v="0"/>
    <n v="21"/>
    <n v="3"/>
    <x v="2"/>
    <n v="0"/>
  </r>
  <r>
    <x v="1"/>
    <s v="2024-08-06"/>
    <n v="1181"/>
    <x v="1"/>
    <x v="3"/>
    <x v="1"/>
    <n v="22"/>
    <n v="4"/>
    <x v="2"/>
    <n v="1"/>
  </r>
  <r>
    <x v="0"/>
    <s v="2024-09-12"/>
    <n v="1033"/>
    <x v="0"/>
    <x v="2"/>
    <x v="3"/>
    <n v="50"/>
    <n v="2"/>
    <x v="0"/>
    <n v="0"/>
  </r>
  <r>
    <x v="2"/>
    <s v="2024-08-21"/>
    <n v="1928"/>
    <x v="2"/>
    <x v="1"/>
    <x v="3"/>
    <n v="2"/>
    <n v="0"/>
    <x v="3"/>
    <n v="2"/>
  </r>
  <r>
    <x v="0"/>
    <s v="2024-11-02"/>
    <n v="1337"/>
    <x v="0"/>
    <x v="2"/>
    <x v="1"/>
    <n v="41"/>
    <n v="0"/>
    <x v="3"/>
    <n v="0"/>
  </r>
  <r>
    <x v="3"/>
    <s v="2024-09-27"/>
    <n v="1144"/>
    <x v="0"/>
    <x v="0"/>
    <x v="1"/>
    <n v="33"/>
    <n v="6"/>
    <x v="2"/>
    <n v="0"/>
  </r>
  <r>
    <x v="1"/>
    <s v="2024-05-19"/>
    <n v="732"/>
    <x v="2"/>
    <x v="2"/>
    <x v="2"/>
    <n v="31"/>
    <n v="0"/>
    <x v="2"/>
    <n v="1"/>
  </r>
  <r>
    <x v="2"/>
    <s v="2024-03-19"/>
    <n v="1023"/>
    <x v="2"/>
    <x v="0"/>
    <x v="1"/>
    <n v="44"/>
    <n v="0"/>
    <x v="2"/>
    <n v="2"/>
  </r>
  <r>
    <x v="1"/>
    <s v="2024-08-03"/>
    <n v="845"/>
    <x v="1"/>
    <x v="3"/>
    <x v="0"/>
    <n v="50"/>
    <n v="2"/>
    <x v="1"/>
    <n v="4"/>
  </r>
  <r>
    <x v="3"/>
    <s v="2024-03-11"/>
    <n v="1569"/>
    <x v="2"/>
    <x v="0"/>
    <x v="0"/>
    <n v="48"/>
    <n v="9"/>
    <x v="2"/>
    <n v="4"/>
  </r>
  <r>
    <x v="3"/>
    <s v="2024-06-03"/>
    <n v="1045"/>
    <x v="1"/>
    <x v="2"/>
    <x v="2"/>
    <n v="20"/>
    <n v="3"/>
    <x v="1"/>
    <n v="3"/>
  </r>
  <r>
    <x v="3"/>
    <s v="2024-09-15"/>
    <n v="1601"/>
    <x v="2"/>
    <x v="1"/>
    <x v="3"/>
    <n v="45"/>
    <n v="3"/>
    <x v="3"/>
    <n v="5"/>
  </r>
  <r>
    <x v="0"/>
    <s v="2024-04-02"/>
    <n v="1596"/>
    <x v="0"/>
    <x v="0"/>
    <x v="3"/>
    <n v="43"/>
    <n v="1"/>
    <x v="0"/>
    <n v="0"/>
  </r>
  <r>
    <x v="0"/>
    <s v="2024-11-04"/>
    <n v="1293"/>
    <x v="1"/>
    <x v="3"/>
    <x v="1"/>
    <n v="20"/>
    <n v="0"/>
    <x v="0"/>
    <n v="3"/>
  </r>
  <r>
    <x v="1"/>
    <s v="2024-04-28"/>
    <n v="748"/>
    <x v="1"/>
    <x v="0"/>
    <x v="0"/>
    <n v="43"/>
    <n v="2"/>
    <x v="0"/>
    <n v="1"/>
  </r>
  <r>
    <x v="1"/>
    <s v="2024-06-08"/>
    <n v="546"/>
    <x v="1"/>
    <x v="0"/>
    <x v="3"/>
    <n v="10"/>
    <n v="10"/>
    <x v="0"/>
    <n v="4"/>
  </r>
  <r>
    <x v="2"/>
    <s v="2024-02-06"/>
    <n v="1644"/>
    <x v="0"/>
    <x v="0"/>
    <x v="2"/>
    <n v="38"/>
    <n v="3"/>
    <x v="1"/>
    <n v="0"/>
  </r>
  <r>
    <x v="2"/>
    <s v="2024-02-04"/>
    <n v="713"/>
    <x v="0"/>
    <x v="3"/>
    <x v="2"/>
    <n v="3"/>
    <n v="2"/>
    <x v="1"/>
    <n v="1"/>
  </r>
  <r>
    <x v="1"/>
    <s v="2024-12-14"/>
    <n v="738"/>
    <x v="0"/>
    <x v="2"/>
    <x v="0"/>
    <n v="50"/>
    <n v="7"/>
    <x v="2"/>
    <n v="5"/>
  </r>
  <r>
    <x v="0"/>
    <s v="2024-11-10"/>
    <n v="1579"/>
    <x v="0"/>
    <x v="0"/>
    <x v="2"/>
    <n v="0"/>
    <n v="9"/>
    <x v="1"/>
    <n v="1"/>
  </r>
  <r>
    <x v="3"/>
    <s v="2024-07-21"/>
    <n v="849"/>
    <x v="0"/>
    <x v="0"/>
    <x v="2"/>
    <n v="27"/>
    <n v="0"/>
    <x v="2"/>
    <n v="0"/>
  </r>
  <r>
    <x v="1"/>
    <s v="2024-09-03"/>
    <n v="606"/>
    <x v="1"/>
    <x v="1"/>
    <x v="0"/>
    <n v="23"/>
    <n v="1"/>
    <x v="2"/>
    <n v="5"/>
  </r>
  <r>
    <x v="2"/>
    <s v="2024-03-20"/>
    <n v="1330"/>
    <x v="0"/>
    <x v="3"/>
    <x v="1"/>
    <n v="34"/>
    <n v="6"/>
    <x v="0"/>
    <n v="1"/>
  </r>
  <r>
    <x v="0"/>
    <s v="2024-12-04"/>
    <n v="547"/>
    <x v="1"/>
    <x v="0"/>
    <x v="1"/>
    <n v="12"/>
    <n v="3"/>
    <x v="1"/>
    <n v="5"/>
  </r>
  <r>
    <x v="1"/>
    <s v="2024-09-16"/>
    <n v="836"/>
    <x v="0"/>
    <x v="3"/>
    <x v="2"/>
    <n v="46"/>
    <n v="7"/>
    <x v="1"/>
    <n v="0"/>
  </r>
  <r>
    <x v="1"/>
    <s v="2024-07-22"/>
    <n v="1549"/>
    <x v="2"/>
    <x v="0"/>
    <x v="1"/>
    <n v="33"/>
    <n v="10"/>
    <x v="2"/>
    <n v="0"/>
  </r>
  <r>
    <x v="0"/>
    <s v="2024-06-14"/>
    <n v="1303"/>
    <x v="1"/>
    <x v="2"/>
    <x v="1"/>
    <n v="10"/>
    <n v="2"/>
    <x v="2"/>
    <n v="5"/>
  </r>
  <r>
    <x v="1"/>
    <s v="2024-09-25"/>
    <n v="1780"/>
    <x v="2"/>
    <x v="2"/>
    <x v="2"/>
    <n v="35"/>
    <n v="5"/>
    <x v="3"/>
    <n v="2"/>
  </r>
  <r>
    <x v="0"/>
    <s v="2024-03-14"/>
    <n v="507"/>
    <x v="1"/>
    <x v="0"/>
    <x v="1"/>
    <n v="50"/>
    <n v="8"/>
    <x v="3"/>
    <n v="3"/>
  </r>
  <r>
    <x v="3"/>
    <s v="2024-11-27"/>
    <n v="1124"/>
    <x v="2"/>
    <x v="2"/>
    <x v="2"/>
    <n v="16"/>
    <n v="0"/>
    <x v="2"/>
    <n v="1"/>
  </r>
  <r>
    <x v="0"/>
    <s v="2024-12-27"/>
    <n v="1776"/>
    <x v="0"/>
    <x v="0"/>
    <x v="3"/>
    <n v="34"/>
    <n v="0"/>
    <x v="3"/>
    <n v="1"/>
  </r>
  <r>
    <x v="0"/>
    <s v="2024-07-06"/>
    <n v="1218"/>
    <x v="0"/>
    <x v="2"/>
    <x v="0"/>
    <n v="17"/>
    <n v="7"/>
    <x v="3"/>
    <n v="2"/>
  </r>
  <r>
    <x v="0"/>
    <s v="2024-01-09"/>
    <n v="802"/>
    <x v="0"/>
    <x v="1"/>
    <x v="0"/>
    <n v="39"/>
    <n v="2"/>
    <x v="2"/>
    <n v="2"/>
  </r>
  <r>
    <x v="1"/>
    <s v="2024-03-24"/>
    <n v="1138"/>
    <x v="1"/>
    <x v="1"/>
    <x v="1"/>
    <n v="21"/>
    <n v="4"/>
    <x v="2"/>
    <n v="2"/>
  </r>
  <r>
    <x v="1"/>
    <s v="2024-02-10"/>
    <n v="555"/>
    <x v="2"/>
    <x v="1"/>
    <x v="1"/>
    <n v="23"/>
    <n v="0"/>
    <x v="1"/>
    <n v="4"/>
  </r>
  <r>
    <x v="0"/>
    <s v="2024-10-17"/>
    <n v="1225"/>
    <x v="0"/>
    <x v="3"/>
    <x v="1"/>
    <n v="18"/>
    <n v="4"/>
    <x v="2"/>
    <n v="4"/>
  </r>
  <r>
    <x v="1"/>
    <s v="2024-02-26"/>
    <n v="1025"/>
    <x v="2"/>
    <x v="3"/>
    <x v="0"/>
    <n v="36"/>
    <n v="10"/>
    <x v="2"/>
    <n v="5"/>
  </r>
  <r>
    <x v="2"/>
    <s v="2024-01-10"/>
    <n v="973"/>
    <x v="2"/>
    <x v="1"/>
    <x v="3"/>
    <n v="38"/>
    <n v="5"/>
    <x v="0"/>
    <n v="4"/>
  </r>
  <r>
    <x v="2"/>
    <s v="2024-08-01"/>
    <n v="527"/>
    <x v="0"/>
    <x v="3"/>
    <x v="3"/>
    <n v="20"/>
    <n v="7"/>
    <x v="1"/>
    <n v="0"/>
  </r>
  <r>
    <x v="1"/>
    <s v="2024-06-15"/>
    <n v="577"/>
    <x v="0"/>
    <x v="2"/>
    <x v="0"/>
    <n v="7"/>
    <n v="2"/>
    <x v="1"/>
    <n v="5"/>
  </r>
  <r>
    <x v="1"/>
    <s v="2024-12-21"/>
    <n v="1739"/>
    <x v="2"/>
    <x v="0"/>
    <x v="3"/>
    <n v="27"/>
    <n v="2"/>
    <x v="1"/>
    <n v="1"/>
  </r>
  <r>
    <x v="0"/>
    <s v="2024-02-01"/>
    <n v="1909"/>
    <x v="0"/>
    <x v="0"/>
    <x v="0"/>
    <n v="4"/>
    <n v="10"/>
    <x v="0"/>
    <n v="3"/>
  </r>
  <r>
    <x v="3"/>
    <s v="2024-04-03"/>
    <n v="864"/>
    <x v="0"/>
    <x v="0"/>
    <x v="3"/>
    <n v="16"/>
    <n v="10"/>
    <x v="2"/>
    <n v="0"/>
  </r>
  <r>
    <x v="1"/>
    <s v="2024-06-10"/>
    <n v="1165"/>
    <x v="0"/>
    <x v="1"/>
    <x v="2"/>
    <n v="36"/>
    <n v="9"/>
    <x v="1"/>
    <n v="1"/>
  </r>
  <r>
    <x v="2"/>
    <s v="2024-05-02"/>
    <n v="1025"/>
    <x v="1"/>
    <x v="3"/>
    <x v="2"/>
    <n v="35"/>
    <n v="8"/>
    <x v="1"/>
    <n v="1"/>
  </r>
  <r>
    <x v="0"/>
    <s v="2024-01-12"/>
    <n v="1198"/>
    <x v="2"/>
    <x v="2"/>
    <x v="0"/>
    <n v="18"/>
    <n v="3"/>
    <x v="3"/>
    <n v="5"/>
  </r>
  <r>
    <x v="1"/>
    <s v="2024-09-23"/>
    <n v="1835"/>
    <x v="2"/>
    <x v="2"/>
    <x v="3"/>
    <n v="26"/>
    <n v="3"/>
    <x v="1"/>
    <n v="2"/>
  </r>
  <r>
    <x v="2"/>
    <s v="2024-11-21"/>
    <n v="1382"/>
    <x v="1"/>
    <x v="1"/>
    <x v="1"/>
    <n v="33"/>
    <n v="6"/>
    <x v="2"/>
    <n v="2"/>
  </r>
  <r>
    <x v="2"/>
    <s v="2024-10-21"/>
    <n v="1530"/>
    <x v="2"/>
    <x v="2"/>
    <x v="3"/>
    <n v="10"/>
    <n v="1"/>
    <x v="2"/>
    <n v="0"/>
  </r>
  <r>
    <x v="3"/>
    <s v="2024-03-11"/>
    <n v="1526"/>
    <x v="0"/>
    <x v="2"/>
    <x v="2"/>
    <n v="44"/>
    <n v="7"/>
    <x v="3"/>
    <n v="2"/>
  </r>
  <r>
    <x v="0"/>
    <s v="2024-12-24"/>
    <n v="1418"/>
    <x v="2"/>
    <x v="2"/>
    <x v="2"/>
    <n v="46"/>
    <n v="5"/>
    <x v="1"/>
    <n v="1"/>
  </r>
  <r>
    <x v="0"/>
    <s v="2024-03-25"/>
    <n v="1249"/>
    <x v="0"/>
    <x v="2"/>
    <x v="3"/>
    <n v="11"/>
    <n v="2"/>
    <x v="1"/>
    <n v="2"/>
  </r>
  <r>
    <x v="3"/>
    <s v="2024-03-29"/>
    <n v="862"/>
    <x v="1"/>
    <x v="3"/>
    <x v="3"/>
    <n v="20"/>
    <n v="8"/>
    <x v="1"/>
    <n v="4"/>
  </r>
  <r>
    <x v="3"/>
    <s v="2024-06-26"/>
    <n v="1797"/>
    <x v="0"/>
    <x v="2"/>
    <x v="1"/>
    <n v="10"/>
    <n v="4"/>
    <x v="0"/>
    <n v="2"/>
  </r>
  <r>
    <x v="0"/>
    <s v="2024-10-09"/>
    <n v="1305"/>
    <x v="2"/>
    <x v="0"/>
    <x v="1"/>
    <n v="38"/>
    <n v="7"/>
    <x v="1"/>
    <n v="1"/>
  </r>
  <r>
    <x v="0"/>
    <s v="2024-08-11"/>
    <n v="1238"/>
    <x v="2"/>
    <x v="1"/>
    <x v="3"/>
    <n v="27"/>
    <n v="6"/>
    <x v="2"/>
    <n v="5"/>
  </r>
  <r>
    <x v="1"/>
    <s v="2024-01-29"/>
    <n v="1538"/>
    <x v="2"/>
    <x v="3"/>
    <x v="3"/>
    <n v="4"/>
    <n v="7"/>
    <x v="2"/>
    <n v="0"/>
  </r>
  <r>
    <x v="1"/>
    <s v="2024-04-18"/>
    <n v="1715"/>
    <x v="1"/>
    <x v="2"/>
    <x v="3"/>
    <n v="16"/>
    <n v="6"/>
    <x v="0"/>
    <n v="3"/>
  </r>
  <r>
    <x v="3"/>
    <s v="2024-07-01"/>
    <n v="984"/>
    <x v="1"/>
    <x v="3"/>
    <x v="3"/>
    <n v="19"/>
    <n v="2"/>
    <x v="0"/>
    <n v="2"/>
  </r>
  <r>
    <x v="1"/>
    <s v="2024-10-28"/>
    <n v="527"/>
    <x v="2"/>
    <x v="2"/>
    <x v="0"/>
    <n v="40"/>
    <n v="1"/>
    <x v="1"/>
    <n v="1"/>
  </r>
  <r>
    <x v="2"/>
    <s v="2024-12-05"/>
    <n v="1213"/>
    <x v="0"/>
    <x v="0"/>
    <x v="3"/>
    <n v="45"/>
    <n v="6"/>
    <x v="3"/>
    <n v="3"/>
  </r>
  <r>
    <x v="1"/>
    <s v="2024-09-30"/>
    <n v="1562"/>
    <x v="1"/>
    <x v="1"/>
    <x v="1"/>
    <n v="11"/>
    <n v="2"/>
    <x v="0"/>
    <n v="3"/>
  </r>
  <r>
    <x v="1"/>
    <s v="2024-11-28"/>
    <n v="1796"/>
    <x v="2"/>
    <x v="2"/>
    <x v="2"/>
    <n v="5"/>
    <n v="2"/>
    <x v="0"/>
    <n v="4"/>
  </r>
  <r>
    <x v="2"/>
    <s v="2024-07-13"/>
    <n v="1754"/>
    <x v="2"/>
    <x v="2"/>
    <x v="0"/>
    <n v="16"/>
    <n v="1"/>
    <x v="1"/>
    <n v="3"/>
  </r>
  <r>
    <x v="3"/>
    <s v="2024-09-24"/>
    <n v="585"/>
    <x v="1"/>
    <x v="2"/>
    <x v="3"/>
    <n v="50"/>
    <n v="3"/>
    <x v="1"/>
    <n v="5"/>
  </r>
  <r>
    <x v="2"/>
    <s v="2024-11-04"/>
    <n v="1997"/>
    <x v="1"/>
    <x v="2"/>
    <x v="2"/>
    <n v="18"/>
    <n v="7"/>
    <x v="0"/>
    <n v="1"/>
  </r>
  <r>
    <x v="1"/>
    <s v="2024-03-14"/>
    <n v="625"/>
    <x v="1"/>
    <x v="1"/>
    <x v="0"/>
    <n v="25"/>
    <n v="0"/>
    <x v="3"/>
    <n v="1"/>
  </r>
  <r>
    <x v="3"/>
    <s v="2024-02-01"/>
    <n v="1311"/>
    <x v="0"/>
    <x v="1"/>
    <x v="2"/>
    <n v="47"/>
    <n v="0"/>
    <x v="0"/>
    <n v="2"/>
  </r>
  <r>
    <x v="1"/>
    <s v="2024-12-06"/>
    <n v="1036"/>
    <x v="0"/>
    <x v="0"/>
    <x v="3"/>
    <n v="43"/>
    <n v="4"/>
    <x v="1"/>
    <n v="2"/>
  </r>
  <r>
    <x v="2"/>
    <s v="2024-01-25"/>
    <n v="644"/>
    <x v="2"/>
    <x v="1"/>
    <x v="3"/>
    <n v="43"/>
    <n v="10"/>
    <x v="1"/>
    <n v="2"/>
  </r>
  <r>
    <x v="2"/>
    <s v="2024-01-02"/>
    <n v="1735"/>
    <x v="1"/>
    <x v="2"/>
    <x v="1"/>
    <n v="31"/>
    <n v="4"/>
    <x v="0"/>
    <n v="5"/>
  </r>
  <r>
    <x v="1"/>
    <s v="2024-03-30"/>
    <n v="524"/>
    <x v="0"/>
    <x v="0"/>
    <x v="3"/>
    <n v="5"/>
    <n v="10"/>
    <x v="3"/>
    <n v="3"/>
  </r>
  <r>
    <x v="0"/>
    <s v="2024-07-31"/>
    <n v="1917"/>
    <x v="1"/>
    <x v="0"/>
    <x v="3"/>
    <n v="35"/>
    <n v="0"/>
    <x v="0"/>
    <n v="3"/>
  </r>
  <r>
    <x v="0"/>
    <s v="2024-11-14"/>
    <n v="566"/>
    <x v="2"/>
    <x v="0"/>
    <x v="0"/>
    <n v="37"/>
    <n v="5"/>
    <x v="0"/>
    <n v="4"/>
  </r>
  <r>
    <x v="2"/>
    <s v="2024-02-21"/>
    <n v="732"/>
    <x v="0"/>
    <x v="2"/>
    <x v="1"/>
    <n v="10"/>
    <n v="0"/>
    <x v="1"/>
    <n v="5"/>
  </r>
  <r>
    <x v="2"/>
    <s v="2024-12-04"/>
    <n v="608"/>
    <x v="0"/>
    <x v="3"/>
    <x v="0"/>
    <n v="32"/>
    <n v="4"/>
    <x v="3"/>
    <n v="2"/>
  </r>
  <r>
    <x v="0"/>
    <s v="2024-08-17"/>
    <n v="1669"/>
    <x v="0"/>
    <x v="2"/>
    <x v="2"/>
    <n v="23"/>
    <n v="8"/>
    <x v="2"/>
    <n v="0"/>
  </r>
  <r>
    <x v="0"/>
    <s v="2024-06-12"/>
    <n v="610"/>
    <x v="2"/>
    <x v="1"/>
    <x v="3"/>
    <n v="22"/>
    <n v="4"/>
    <x v="3"/>
    <n v="4"/>
  </r>
  <r>
    <x v="1"/>
    <s v="2024-10-26"/>
    <n v="727"/>
    <x v="1"/>
    <x v="1"/>
    <x v="2"/>
    <n v="14"/>
    <n v="5"/>
    <x v="0"/>
    <n v="0"/>
  </r>
  <r>
    <x v="1"/>
    <s v="2024-06-13"/>
    <n v="610"/>
    <x v="0"/>
    <x v="2"/>
    <x v="0"/>
    <n v="26"/>
    <n v="7"/>
    <x v="0"/>
    <n v="3"/>
  </r>
  <r>
    <x v="0"/>
    <s v="2024-09-04"/>
    <n v="1993"/>
    <x v="2"/>
    <x v="2"/>
    <x v="3"/>
    <n v="10"/>
    <n v="10"/>
    <x v="0"/>
    <n v="4"/>
  </r>
  <r>
    <x v="1"/>
    <s v="2024-01-30"/>
    <n v="533"/>
    <x v="1"/>
    <x v="0"/>
    <x v="3"/>
    <n v="50"/>
    <n v="0"/>
    <x v="3"/>
    <n v="4"/>
  </r>
  <r>
    <x v="1"/>
    <s v="2024-07-16"/>
    <n v="1122"/>
    <x v="2"/>
    <x v="2"/>
    <x v="0"/>
    <n v="49"/>
    <n v="1"/>
    <x v="1"/>
    <n v="1"/>
  </r>
  <r>
    <x v="3"/>
    <s v="2024-12-14"/>
    <n v="1892"/>
    <x v="1"/>
    <x v="0"/>
    <x v="0"/>
    <n v="16"/>
    <n v="8"/>
    <x v="0"/>
    <n v="3"/>
  </r>
  <r>
    <x v="1"/>
    <s v="2024-06-23"/>
    <n v="1247"/>
    <x v="2"/>
    <x v="1"/>
    <x v="0"/>
    <n v="50"/>
    <n v="2"/>
    <x v="0"/>
    <n v="3"/>
  </r>
  <r>
    <x v="2"/>
    <s v="2024-02-20"/>
    <n v="1094"/>
    <x v="1"/>
    <x v="0"/>
    <x v="0"/>
    <n v="13"/>
    <n v="5"/>
    <x v="3"/>
    <n v="5"/>
  </r>
  <r>
    <x v="1"/>
    <s v="2024-06-19"/>
    <n v="924"/>
    <x v="0"/>
    <x v="2"/>
    <x v="0"/>
    <n v="26"/>
    <n v="4"/>
    <x v="2"/>
    <n v="4"/>
  </r>
  <r>
    <x v="1"/>
    <s v="2024-05-09"/>
    <n v="1112"/>
    <x v="1"/>
    <x v="1"/>
    <x v="3"/>
    <n v="17"/>
    <n v="10"/>
    <x v="2"/>
    <n v="3"/>
  </r>
  <r>
    <x v="0"/>
    <s v="2024-03-03"/>
    <n v="1191"/>
    <x v="2"/>
    <x v="3"/>
    <x v="0"/>
    <n v="27"/>
    <n v="1"/>
    <x v="1"/>
    <n v="4"/>
  </r>
  <r>
    <x v="2"/>
    <s v="2024-12-03"/>
    <n v="1805"/>
    <x v="2"/>
    <x v="0"/>
    <x v="3"/>
    <n v="50"/>
    <n v="6"/>
    <x v="1"/>
    <n v="5"/>
  </r>
  <r>
    <x v="1"/>
    <s v="2024-04-16"/>
    <n v="1843"/>
    <x v="1"/>
    <x v="1"/>
    <x v="3"/>
    <n v="46"/>
    <n v="3"/>
    <x v="0"/>
    <n v="5"/>
  </r>
  <r>
    <x v="1"/>
    <s v="2024-10-19"/>
    <n v="1966"/>
    <x v="0"/>
    <x v="0"/>
    <x v="0"/>
    <n v="46"/>
    <n v="0"/>
    <x v="3"/>
    <n v="1"/>
  </r>
  <r>
    <x v="3"/>
    <s v="2024-05-10"/>
    <n v="814"/>
    <x v="0"/>
    <x v="1"/>
    <x v="0"/>
    <n v="3"/>
    <n v="3"/>
    <x v="0"/>
    <n v="4"/>
  </r>
  <r>
    <x v="1"/>
    <s v="2024-04-30"/>
    <n v="1376"/>
    <x v="1"/>
    <x v="1"/>
    <x v="1"/>
    <n v="6"/>
    <n v="5"/>
    <x v="1"/>
    <n v="3"/>
  </r>
  <r>
    <x v="1"/>
    <s v="2024-07-07"/>
    <n v="1900"/>
    <x v="1"/>
    <x v="0"/>
    <x v="3"/>
    <n v="44"/>
    <n v="6"/>
    <x v="3"/>
    <n v="3"/>
  </r>
  <r>
    <x v="3"/>
    <s v="2024-11-21"/>
    <n v="1812"/>
    <x v="2"/>
    <x v="3"/>
    <x v="0"/>
    <n v="34"/>
    <n v="6"/>
    <x v="3"/>
    <n v="4"/>
  </r>
  <r>
    <x v="0"/>
    <s v="2024-10-13"/>
    <n v="1960"/>
    <x v="0"/>
    <x v="1"/>
    <x v="0"/>
    <n v="47"/>
    <n v="6"/>
    <x v="1"/>
    <n v="4"/>
  </r>
  <r>
    <x v="1"/>
    <s v="2024-08-23"/>
    <n v="1161"/>
    <x v="1"/>
    <x v="1"/>
    <x v="0"/>
    <n v="8"/>
    <n v="2"/>
    <x v="2"/>
    <n v="4"/>
  </r>
  <r>
    <x v="3"/>
    <s v="2024-03-18"/>
    <n v="776"/>
    <x v="0"/>
    <x v="1"/>
    <x v="1"/>
    <n v="7"/>
    <n v="5"/>
    <x v="2"/>
    <n v="2"/>
  </r>
  <r>
    <x v="2"/>
    <s v="2024-03-09"/>
    <n v="1123"/>
    <x v="1"/>
    <x v="3"/>
    <x v="1"/>
    <n v="44"/>
    <n v="7"/>
    <x v="3"/>
    <n v="3"/>
  </r>
  <r>
    <x v="0"/>
    <s v="2024-02-07"/>
    <n v="1015"/>
    <x v="1"/>
    <x v="3"/>
    <x v="2"/>
    <n v="16"/>
    <n v="3"/>
    <x v="0"/>
    <n v="5"/>
  </r>
  <r>
    <x v="2"/>
    <s v="2024-12-26"/>
    <n v="1873"/>
    <x v="0"/>
    <x v="2"/>
    <x v="3"/>
    <n v="16"/>
    <n v="7"/>
    <x v="2"/>
    <n v="3"/>
  </r>
  <r>
    <x v="2"/>
    <s v="2024-12-19"/>
    <n v="1342"/>
    <x v="1"/>
    <x v="0"/>
    <x v="2"/>
    <n v="48"/>
    <n v="1"/>
    <x v="0"/>
    <n v="2"/>
  </r>
  <r>
    <x v="3"/>
    <s v="2024-12-01"/>
    <n v="1969"/>
    <x v="1"/>
    <x v="3"/>
    <x v="0"/>
    <n v="32"/>
    <n v="9"/>
    <x v="2"/>
    <n v="4"/>
  </r>
  <r>
    <x v="1"/>
    <s v="2024-05-19"/>
    <n v="849"/>
    <x v="2"/>
    <x v="0"/>
    <x v="1"/>
    <n v="31"/>
    <n v="8"/>
    <x v="2"/>
    <n v="1"/>
  </r>
  <r>
    <x v="3"/>
    <s v="2024-04-28"/>
    <n v="1322"/>
    <x v="1"/>
    <x v="2"/>
    <x v="1"/>
    <n v="7"/>
    <n v="8"/>
    <x v="0"/>
    <n v="4"/>
  </r>
  <r>
    <x v="3"/>
    <s v="2024-07-18"/>
    <n v="1660"/>
    <x v="1"/>
    <x v="0"/>
    <x v="2"/>
    <n v="18"/>
    <n v="7"/>
    <x v="1"/>
    <n v="4"/>
  </r>
  <r>
    <x v="3"/>
    <s v="2024-04-29"/>
    <n v="1258"/>
    <x v="1"/>
    <x v="3"/>
    <x v="1"/>
    <n v="37"/>
    <n v="9"/>
    <x v="2"/>
    <n v="2"/>
  </r>
  <r>
    <x v="3"/>
    <s v="2024-06-15"/>
    <n v="1398"/>
    <x v="2"/>
    <x v="0"/>
    <x v="0"/>
    <n v="2"/>
    <n v="9"/>
    <x v="2"/>
    <n v="3"/>
  </r>
  <r>
    <x v="0"/>
    <s v="2024-11-20"/>
    <n v="742"/>
    <x v="0"/>
    <x v="3"/>
    <x v="1"/>
    <n v="4"/>
    <n v="0"/>
    <x v="0"/>
    <n v="4"/>
  </r>
  <r>
    <x v="1"/>
    <s v="2024-05-14"/>
    <n v="1042"/>
    <x v="2"/>
    <x v="0"/>
    <x v="2"/>
    <n v="12"/>
    <n v="1"/>
    <x v="1"/>
    <n v="3"/>
  </r>
  <r>
    <x v="2"/>
    <s v="2024-03-23"/>
    <n v="1563"/>
    <x v="2"/>
    <x v="3"/>
    <x v="0"/>
    <n v="46"/>
    <n v="5"/>
    <x v="2"/>
    <n v="0"/>
  </r>
  <r>
    <x v="2"/>
    <s v="2024-12-29"/>
    <n v="728"/>
    <x v="0"/>
    <x v="3"/>
    <x v="2"/>
    <n v="45"/>
    <n v="9"/>
    <x v="2"/>
    <n v="5"/>
  </r>
  <r>
    <x v="1"/>
    <s v="2024-07-26"/>
    <n v="1047"/>
    <x v="2"/>
    <x v="0"/>
    <x v="1"/>
    <n v="30"/>
    <n v="4"/>
    <x v="1"/>
    <n v="3"/>
  </r>
  <r>
    <x v="2"/>
    <s v="2024-01-30"/>
    <n v="1419"/>
    <x v="0"/>
    <x v="2"/>
    <x v="2"/>
    <n v="15"/>
    <n v="8"/>
    <x v="2"/>
    <n v="1"/>
  </r>
  <r>
    <x v="1"/>
    <s v="2024-05-27"/>
    <n v="1746"/>
    <x v="2"/>
    <x v="1"/>
    <x v="2"/>
    <n v="49"/>
    <n v="4"/>
    <x v="1"/>
    <n v="5"/>
  </r>
  <r>
    <x v="2"/>
    <s v="2024-01-29"/>
    <n v="505"/>
    <x v="0"/>
    <x v="2"/>
    <x v="3"/>
    <n v="31"/>
    <n v="1"/>
    <x v="1"/>
    <n v="1"/>
  </r>
  <r>
    <x v="3"/>
    <s v="2024-05-31"/>
    <n v="1845"/>
    <x v="1"/>
    <x v="0"/>
    <x v="1"/>
    <n v="21"/>
    <n v="9"/>
    <x v="0"/>
    <n v="4"/>
  </r>
  <r>
    <x v="2"/>
    <s v="2024-03-13"/>
    <n v="967"/>
    <x v="2"/>
    <x v="2"/>
    <x v="1"/>
    <n v="28"/>
    <n v="3"/>
    <x v="3"/>
    <n v="5"/>
  </r>
  <r>
    <x v="1"/>
    <s v="2024-05-07"/>
    <n v="574"/>
    <x v="2"/>
    <x v="3"/>
    <x v="2"/>
    <n v="21"/>
    <n v="8"/>
    <x v="1"/>
    <n v="3"/>
  </r>
  <r>
    <x v="1"/>
    <s v="2024-09-16"/>
    <n v="503"/>
    <x v="2"/>
    <x v="1"/>
    <x v="3"/>
    <n v="42"/>
    <n v="0"/>
    <x v="0"/>
    <n v="5"/>
  </r>
  <r>
    <x v="1"/>
    <s v="2024-01-05"/>
    <n v="1145"/>
    <x v="2"/>
    <x v="0"/>
    <x v="1"/>
    <n v="2"/>
    <n v="10"/>
    <x v="3"/>
    <n v="4"/>
  </r>
  <r>
    <x v="1"/>
    <s v="2024-12-03"/>
    <n v="617"/>
    <x v="1"/>
    <x v="0"/>
    <x v="0"/>
    <n v="9"/>
    <n v="0"/>
    <x v="2"/>
    <n v="2"/>
  </r>
  <r>
    <x v="1"/>
    <s v="2024-07-04"/>
    <n v="1380"/>
    <x v="2"/>
    <x v="0"/>
    <x v="2"/>
    <n v="41"/>
    <n v="6"/>
    <x v="3"/>
    <n v="1"/>
  </r>
  <r>
    <x v="0"/>
    <s v="2024-08-23"/>
    <n v="1003"/>
    <x v="1"/>
    <x v="1"/>
    <x v="1"/>
    <n v="20"/>
    <n v="10"/>
    <x v="1"/>
    <n v="4"/>
  </r>
  <r>
    <x v="0"/>
    <s v="2024-12-07"/>
    <n v="1446"/>
    <x v="1"/>
    <x v="3"/>
    <x v="0"/>
    <n v="15"/>
    <n v="2"/>
    <x v="1"/>
    <n v="2"/>
  </r>
  <r>
    <x v="2"/>
    <s v="2024-07-04"/>
    <n v="1073"/>
    <x v="1"/>
    <x v="0"/>
    <x v="1"/>
    <n v="11"/>
    <n v="9"/>
    <x v="1"/>
    <n v="5"/>
  </r>
  <r>
    <x v="1"/>
    <s v="2024-02-08"/>
    <n v="1964"/>
    <x v="1"/>
    <x v="2"/>
    <x v="0"/>
    <n v="1"/>
    <n v="1"/>
    <x v="1"/>
    <n v="5"/>
  </r>
  <r>
    <x v="2"/>
    <s v="2024-12-23"/>
    <n v="693"/>
    <x v="0"/>
    <x v="0"/>
    <x v="2"/>
    <n v="40"/>
    <n v="8"/>
    <x v="1"/>
    <n v="4"/>
  </r>
  <r>
    <x v="1"/>
    <s v="2024-08-17"/>
    <n v="1346"/>
    <x v="0"/>
    <x v="0"/>
    <x v="1"/>
    <n v="23"/>
    <n v="2"/>
    <x v="0"/>
    <n v="3"/>
  </r>
  <r>
    <x v="1"/>
    <s v="2024-11-16"/>
    <n v="1214"/>
    <x v="2"/>
    <x v="0"/>
    <x v="1"/>
    <n v="34"/>
    <n v="1"/>
    <x v="1"/>
    <n v="5"/>
  </r>
  <r>
    <x v="0"/>
    <s v="2024-10-26"/>
    <n v="1915"/>
    <x v="0"/>
    <x v="0"/>
    <x v="3"/>
    <n v="29"/>
    <n v="7"/>
    <x v="0"/>
    <n v="3"/>
  </r>
  <r>
    <x v="0"/>
    <s v="2024-06-30"/>
    <n v="1549"/>
    <x v="0"/>
    <x v="3"/>
    <x v="2"/>
    <n v="29"/>
    <n v="9"/>
    <x v="2"/>
    <n v="3"/>
  </r>
  <r>
    <x v="3"/>
    <s v="2024-11-21"/>
    <n v="1958"/>
    <x v="2"/>
    <x v="2"/>
    <x v="0"/>
    <n v="46"/>
    <n v="5"/>
    <x v="1"/>
    <n v="3"/>
  </r>
  <r>
    <x v="0"/>
    <s v="2024-03-24"/>
    <n v="672"/>
    <x v="2"/>
    <x v="3"/>
    <x v="1"/>
    <n v="34"/>
    <n v="5"/>
    <x v="1"/>
    <n v="0"/>
  </r>
  <r>
    <x v="3"/>
    <s v="2024-03-27"/>
    <n v="1823"/>
    <x v="2"/>
    <x v="2"/>
    <x v="1"/>
    <n v="18"/>
    <n v="9"/>
    <x v="3"/>
    <n v="2"/>
  </r>
  <r>
    <x v="3"/>
    <s v="2024-02-26"/>
    <n v="825"/>
    <x v="0"/>
    <x v="0"/>
    <x v="0"/>
    <n v="49"/>
    <n v="10"/>
    <x v="2"/>
    <n v="2"/>
  </r>
  <r>
    <x v="3"/>
    <s v="2024-10-06"/>
    <n v="1933"/>
    <x v="0"/>
    <x v="1"/>
    <x v="2"/>
    <n v="7"/>
    <n v="6"/>
    <x v="1"/>
    <n v="5"/>
  </r>
  <r>
    <x v="3"/>
    <s v="2024-10-13"/>
    <n v="1641"/>
    <x v="2"/>
    <x v="3"/>
    <x v="3"/>
    <n v="25"/>
    <n v="6"/>
    <x v="1"/>
    <n v="5"/>
  </r>
  <r>
    <x v="3"/>
    <s v="2024-12-02"/>
    <n v="1335"/>
    <x v="1"/>
    <x v="1"/>
    <x v="3"/>
    <n v="48"/>
    <n v="10"/>
    <x v="2"/>
    <n v="3"/>
  </r>
  <r>
    <x v="2"/>
    <s v="2024-11-04"/>
    <n v="1223"/>
    <x v="2"/>
    <x v="3"/>
    <x v="1"/>
    <n v="39"/>
    <n v="5"/>
    <x v="0"/>
    <n v="0"/>
  </r>
  <r>
    <x v="0"/>
    <s v="2024-11-29"/>
    <n v="724"/>
    <x v="1"/>
    <x v="0"/>
    <x v="0"/>
    <n v="6"/>
    <n v="3"/>
    <x v="1"/>
    <n v="3"/>
  </r>
  <r>
    <x v="3"/>
    <s v="2024-03-27"/>
    <n v="1031"/>
    <x v="1"/>
    <x v="3"/>
    <x v="1"/>
    <n v="29"/>
    <n v="10"/>
    <x v="3"/>
    <n v="0"/>
  </r>
  <r>
    <x v="1"/>
    <s v="2024-01-24"/>
    <n v="612"/>
    <x v="2"/>
    <x v="0"/>
    <x v="0"/>
    <n v="6"/>
    <n v="8"/>
    <x v="1"/>
    <n v="3"/>
  </r>
  <r>
    <x v="0"/>
    <s v="2024-07-11"/>
    <n v="639"/>
    <x v="2"/>
    <x v="3"/>
    <x v="3"/>
    <n v="2"/>
    <n v="5"/>
    <x v="3"/>
    <n v="1"/>
  </r>
  <r>
    <x v="0"/>
    <s v="2024-01-19"/>
    <n v="1058"/>
    <x v="2"/>
    <x v="0"/>
    <x v="2"/>
    <n v="0"/>
    <n v="3"/>
    <x v="3"/>
    <n v="1"/>
  </r>
  <r>
    <x v="3"/>
    <s v="2024-01-11"/>
    <n v="500"/>
    <x v="0"/>
    <x v="0"/>
    <x v="0"/>
    <n v="35"/>
    <n v="2"/>
    <x v="1"/>
    <n v="4"/>
  </r>
  <r>
    <x v="2"/>
    <s v="2024-11-21"/>
    <n v="589"/>
    <x v="1"/>
    <x v="2"/>
    <x v="3"/>
    <n v="24"/>
    <n v="3"/>
    <x v="1"/>
    <n v="3"/>
  </r>
  <r>
    <x v="3"/>
    <s v="2024-11-08"/>
    <n v="1153"/>
    <x v="0"/>
    <x v="0"/>
    <x v="1"/>
    <n v="36"/>
    <n v="2"/>
    <x v="3"/>
    <n v="5"/>
  </r>
  <r>
    <x v="2"/>
    <s v="2024-11-05"/>
    <n v="819"/>
    <x v="0"/>
    <x v="2"/>
    <x v="0"/>
    <n v="0"/>
    <n v="1"/>
    <x v="2"/>
    <n v="2"/>
  </r>
  <r>
    <x v="1"/>
    <s v="2024-11-21"/>
    <n v="638"/>
    <x v="2"/>
    <x v="0"/>
    <x v="2"/>
    <n v="14"/>
    <n v="4"/>
    <x v="2"/>
    <n v="4"/>
  </r>
  <r>
    <x v="0"/>
    <s v="2024-01-08"/>
    <n v="1344"/>
    <x v="0"/>
    <x v="1"/>
    <x v="1"/>
    <n v="36"/>
    <n v="1"/>
    <x v="1"/>
    <n v="5"/>
  </r>
  <r>
    <x v="1"/>
    <s v="2024-12-14"/>
    <n v="758"/>
    <x v="2"/>
    <x v="0"/>
    <x v="1"/>
    <n v="12"/>
    <n v="5"/>
    <x v="0"/>
    <n v="1"/>
  </r>
  <r>
    <x v="2"/>
    <s v="2024-11-14"/>
    <n v="1401"/>
    <x v="1"/>
    <x v="1"/>
    <x v="3"/>
    <n v="39"/>
    <n v="2"/>
    <x v="2"/>
    <n v="3"/>
  </r>
  <r>
    <x v="2"/>
    <s v="2024-04-11"/>
    <n v="1189"/>
    <x v="2"/>
    <x v="1"/>
    <x v="0"/>
    <n v="7"/>
    <n v="5"/>
    <x v="1"/>
    <n v="4"/>
  </r>
  <r>
    <x v="1"/>
    <s v="2024-04-18"/>
    <n v="509"/>
    <x v="0"/>
    <x v="0"/>
    <x v="1"/>
    <n v="4"/>
    <n v="10"/>
    <x v="2"/>
    <n v="3"/>
  </r>
  <r>
    <x v="2"/>
    <s v="2024-07-13"/>
    <n v="760"/>
    <x v="0"/>
    <x v="1"/>
    <x v="2"/>
    <n v="8"/>
    <n v="9"/>
    <x v="0"/>
    <n v="1"/>
  </r>
  <r>
    <x v="1"/>
    <s v="2024-03-03"/>
    <n v="671"/>
    <x v="2"/>
    <x v="2"/>
    <x v="0"/>
    <n v="0"/>
    <n v="8"/>
    <x v="1"/>
    <n v="4"/>
  </r>
  <r>
    <x v="0"/>
    <s v="2024-09-01"/>
    <n v="1397"/>
    <x v="2"/>
    <x v="3"/>
    <x v="2"/>
    <n v="35"/>
    <n v="0"/>
    <x v="0"/>
    <n v="1"/>
  </r>
  <r>
    <x v="1"/>
    <s v="2024-04-20"/>
    <n v="512"/>
    <x v="0"/>
    <x v="0"/>
    <x v="1"/>
    <n v="34"/>
    <n v="5"/>
    <x v="1"/>
    <n v="0"/>
  </r>
  <r>
    <x v="0"/>
    <s v="2024-12-05"/>
    <n v="1691"/>
    <x v="1"/>
    <x v="1"/>
    <x v="2"/>
    <n v="1"/>
    <n v="8"/>
    <x v="0"/>
    <n v="1"/>
  </r>
  <r>
    <x v="1"/>
    <s v="2024-02-15"/>
    <n v="820"/>
    <x v="1"/>
    <x v="0"/>
    <x v="3"/>
    <n v="39"/>
    <n v="10"/>
    <x v="2"/>
    <n v="3"/>
  </r>
  <r>
    <x v="2"/>
    <s v="2024-07-11"/>
    <n v="1842"/>
    <x v="2"/>
    <x v="2"/>
    <x v="2"/>
    <n v="22"/>
    <n v="3"/>
    <x v="2"/>
    <n v="2"/>
  </r>
  <r>
    <x v="1"/>
    <s v="2024-03-19"/>
    <n v="828"/>
    <x v="1"/>
    <x v="0"/>
    <x v="0"/>
    <n v="8"/>
    <n v="10"/>
    <x v="0"/>
    <n v="1"/>
  </r>
  <r>
    <x v="2"/>
    <s v="2024-03-27"/>
    <n v="1284"/>
    <x v="0"/>
    <x v="0"/>
    <x v="2"/>
    <n v="33"/>
    <n v="1"/>
    <x v="0"/>
    <n v="5"/>
  </r>
  <r>
    <x v="1"/>
    <s v="2024-09-04"/>
    <n v="1276"/>
    <x v="2"/>
    <x v="1"/>
    <x v="2"/>
    <n v="45"/>
    <n v="3"/>
    <x v="0"/>
    <n v="2"/>
  </r>
  <r>
    <x v="1"/>
    <s v="2024-04-12"/>
    <n v="1410"/>
    <x v="0"/>
    <x v="2"/>
    <x v="3"/>
    <n v="13"/>
    <n v="0"/>
    <x v="1"/>
    <n v="0"/>
  </r>
  <r>
    <x v="3"/>
    <s v="2024-10-07"/>
    <n v="1942"/>
    <x v="0"/>
    <x v="3"/>
    <x v="2"/>
    <n v="3"/>
    <n v="2"/>
    <x v="2"/>
    <n v="4"/>
  </r>
  <r>
    <x v="2"/>
    <s v="2024-05-15"/>
    <n v="1618"/>
    <x v="1"/>
    <x v="3"/>
    <x v="2"/>
    <n v="29"/>
    <n v="9"/>
    <x v="1"/>
    <n v="4"/>
  </r>
  <r>
    <x v="3"/>
    <s v="2024-08-10"/>
    <n v="817"/>
    <x v="2"/>
    <x v="1"/>
    <x v="1"/>
    <n v="30"/>
    <n v="8"/>
    <x v="2"/>
    <n v="2"/>
  </r>
  <r>
    <x v="2"/>
    <s v="2024-12-28"/>
    <n v="735"/>
    <x v="2"/>
    <x v="0"/>
    <x v="1"/>
    <n v="37"/>
    <n v="9"/>
    <x v="3"/>
    <n v="4"/>
  </r>
  <r>
    <x v="3"/>
    <s v="2024-10-30"/>
    <n v="833"/>
    <x v="1"/>
    <x v="1"/>
    <x v="0"/>
    <n v="10"/>
    <n v="4"/>
    <x v="1"/>
    <n v="1"/>
  </r>
  <r>
    <x v="0"/>
    <s v="2024-05-15"/>
    <n v="875"/>
    <x v="0"/>
    <x v="1"/>
    <x v="1"/>
    <n v="34"/>
    <n v="10"/>
    <x v="2"/>
    <n v="2"/>
  </r>
  <r>
    <x v="1"/>
    <s v="2024-06-04"/>
    <n v="1982"/>
    <x v="0"/>
    <x v="1"/>
    <x v="1"/>
    <n v="7"/>
    <n v="5"/>
    <x v="2"/>
    <n v="3"/>
  </r>
  <r>
    <x v="2"/>
    <s v="2024-02-24"/>
    <n v="1660"/>
    <x v="0"/>
    <x v="0"/>
    <x v="1"/>
    <n v="2"/>
    <n v="2"/>
    <x v="1"/>
    <n v="1"/>
  </r>
  <r>
    <x v="2"/>
    <s v="2024-07-16"/>
    <n v="1087"/>
    <x v="0"/>
    <x v="2"/>
    <x v="1"/>
    <n v="13"/>
    <n v="4"/>
    <x v="1"/>
    <n v="1"/>
  </r>
  <r>
    <x v="1"/>
    <s v="2024-04-29"/>
    <n v="1012"/>
    <x v="2"/>
    <x v="1"/>
    <x v="3"/>
    <n v="12"/>
    <n v="10"/>
    <x v="2"/>
    <n v="1"/>
  </r>
  <r>
    <x v="2"/>
    <s v="2024-12-04"/>
    <n v="1819"/>
    <x v="2"/>
    <x v="0"/>
    <x v="1"/>
    <n v="44"/>
    <n v="7"/>
    <x v="1"/>
    <n v="3"/>
  </r>
  <r>
    <x v="2"/>
    <s v="2024-11-21"/>
    <n v="1843"/>
    <x v="1"/>
    <x v="2"/>
    <x v="3"/>
    <n v="31"/>
    <n v="5"/>
    <x v="0"/>
    <n v="0"/>
  </r>
  <r>
    <x v="3"/>
    <s v="2024-01-23"/>
    <n v="1417"/>
    <x v="1"/>
    <x v="1"/>
    <x v="3"/>
    <n v="33"/>
    <n v="3"/>
    <x v="1"/>
    <n v="5"/>
  </r>
  <r>
    <x v="2"/>
    <s v="2024-03-16"/>
    <n v="1872"/>
    <x v="2"/>
    <x v="3"/>
    <x v="1"/>
    <n v="44"/>
    <n v="1"/>
    <x v="1"/>
    <n v="4"/>
  </r>
  <r>
    <x v="0"/>
    <s v="2024-12-03"/>
    <n v="1372"/>
    <x v="2"/>
    <x v="2"/>
    <x v="2"/>
    <n v="18"/>
    <n v="8"/>
    <x v="1"/>
    <n v="2"/>
  </r>
  <r>
    <x v="0"/>
    <s v="2024-06-30"/>
    <n v="1752"/>
    <x v="0"/>
    <x v="1"/>
    <x v="3"/>
    <n v="37"/>
    <n v="0"/>
    <x v="2"/>
    <n v="0"/>
  </r>
  <r>
    <x v="1"/>
    <s v="2024-11-24"/>
    <n v="769"/>
    <x v="0"/>
    <x v="2"/>
    <x v="2"/>
    <n v="15"/>
    <n v="0"/>
    <x v="0"/>
    <n v="2"/>
  </r>
  <r>
    <x v="2"/>
    <s v="2024-11-15"/>
    <n v="1297"/>
    <x v="1"/>
    <x v="2"/>
    <x v="2"/>
    <n v="1"/>
    <n v="3"/>
    <x v="3"/>
    <n v="4"/>
  </r>
  <r>
    <x v="1"/>
    <s v="2024-09-09"/>
    <n v="1814"/>
    <x v="2"/>
    <x v="2"/>
    <x v="1"/>
    <n v="39"/>
    <n v="6"/>
    <x v="3"/>
    <n v="3"/>
  </r>
  <r>
    <x v="0"/>
    <s v="2024-08-19"/>
    <n v="1224"/>
    <x v="1"/>
    <x v="2"/>
    <x v="0"/>
    <n v="16"/>
    <n v="0"/>
    <x v="0"/>
    <n v="1"/>
  </r>
  <r>
    <x v="2"/>
    <s v="2024-03-17"/>
    <n v="1688"/>
    <x v="2"/>
    <x v="2"/>
    <x v="1"/>
    <n v="33"/>
    <n v="8"/>
    <x v="0"/>
    <n v="1"/>
  </r>
  <r>
    <x v="2"/>
    <s v="2024-05-19"/>
    <n v="504"/>
    <x v="0"/>
    <x v="2"/>
    <x v="0"/>
    <n v="41"/>
    <n v="3"/>
    <x v="0"/>
    <n v="3"/>
  </r>
  <r>
    <x v="1"/>
    <s v="2024-08-10"/>
    <n v="1350"/>
    <x v="1"/>
    <x v="1"/>
    <x v="0"/>
    <n v="15"/>
    <n v="2"/>
    <x v="2"/>
    <n v="0"/>
  </r>
  <r>
    <x v="0"/>
    <s v="2024-12-24"/>
    <n v="1902"/>
    <x v="1"/>
    <x v="3"/>
    <x v="1"/>
    <n v="37"/>
    <n v="0"/>
    <x v="3"/>
    <n v="0"/>
  </r>
  <r>
    <x v="2"/>
    <s v="2024-11-01"/>
    <n v="577"/>
    <x v="2"/>
    <x v="0"/>
    <x v="1"/>
    <n v="1"/>
    <n v="9"/>
    <x v="0"/>
    <n v="2"/>
  </r>
  <r>
    <x v="1"/>
    <s v="2024-08-29"/>
    <n v="1933"/>
    <x v="0"/>
    <x v="2"/>
    <x v="0"/>
    <n v="1"/>
    <n v="3"/>
    <x v="2"/>
    <n v="3"/>
  </r>
  <r>
    <x v="0"/>
    <s v="2024-09-23"/>
    <n v="1073"/>
    <x v="1"/>
    <x v="0"/>
    <x v="1"/>
    <n v="25"/>
    <n v="8"/>
    <x v="3"/>
    <n v="0"/>
  </r>
  <r>
    <x v="1"/>
    <s v="2024-12-01"/>
    <n v="631"/>
    <x v="0"/>
    <x v="1"/>
    <x v="0"/>
    <n v="12"/>
    <n v="9"/>
    <x v="1"/>
    <n v="3"/>
  </r>
  <r>
    <x v="3"/>
    <s v="2024-08-14"/>
    <n v="1100"/>
    <x v="1"/>
    <x v="2"/>
    <x v="2"/>
    <n v="46"/>
    <n v="5"/>
    <x v="2"/>
    <n v="4"/>
  </r>
  <r>
    <x v="2"/>
    <s v="2024-12-08"/>
    <n v="1565"/>
    <x v="0"/>
    <x v="3"/>
    <x v="1"/>
    <n v="30"/>
    <n v="5"/>
    <x v="3"/>
    <n v="1"/>
  </r>
  <r>
    <x v="3"/>
    <s v="2024-01-02"/>
    <n v="588"/>
    <x v="2"/>
    <x v="0"/>
    <x v="2"/>
    <n v="33"/>
    <n v="0"/>
    <x v="2"/>
    <n v="1"/>
  </r>
  <r>
    <x v="0"/>
    <s v="2024-04-24"/>
    <n v="901"/>
    <x v="1"/>
    <x v="2"/>
    <x v="3"/>
    <n v="38"/>
    <n v="9"/>
    <x v="3"/>
    <n v="1"/>
  </r>
  <r>
    <x v="3"/>
    <s v="2024-12-07"/>
    <n v="795"/>
    <x v="1"/>
    <x v="1"/>
    <x v="2"/>
    <n v="2"/>
    <n v="1"/>
    <x v="3"/>
    <n v="3"/>
  </r>
  <r>
    <x v="3"/>
    <s v="2024-06-10"/>
    <n v="1818"/>
    <x v="0"/>
    <x v="3"/>
    <x v="2"/>
    <n v="7"/>
    <n v="10"/>
    <x v="1"/>
    <n v="3"/>
  </r>
  <r>
    <x v="0"/>
    <s v="2024-06-28"/>
    <n v="1115"/>
    <x v="0"/>
    <x v="0"/>
    <x v="0"/>
    <n v="22"/>
    <n v="5"/>
    <x v="2"/>
    <n v="2"/>
  </r>
  <r>
    <x v="1"/>
    <s v="2024-09-10"/>
    <n v="1299"/>
    <x v="1"/>
    <x v="0"/>
    <x v="2"/>
    <n v="13"/>
    <n v="1"/>
    <x v="0"/>
    <n v="1"/>
  </r>
  <r>
    <x v="3"/>
    <s v="2024-07-22"/>
    <n v="921"/>
    <x v="2"/>
    <x v="2"/>
    <x v="1"/>
    <n v="26"/>
    <n v="2"/>
    <x v="1"/>
    <n v="2"/>
  </r>
  <r>
    <x v="1"/>
    <s v="2024-09-01"/>
    <n v="1546"/>
    <x v="0"/>
    <x v="3"/>
    <x v="0"/>
    <n v="28"/>
    <n v="3"/>
    <x v="1"/>
    <n v="1"/>
  </r>
  <r>
    <x v="3"/>
    <s v="2024-09-14"/>
    <n v="1074"/>
    <x v="0"/>
    <x v="3"/>
    <x v="3"/>
    <n v="38"/>
    <n v="10"/>
    <x v="3"/>
    <n v="2"/>
  </r>
  <r>
    <x v="1"/>
    <s v="2024-02-19"/>
    <n v="642"/>
    <x v="0"/>
    <x v="3"/>
    <x v="1"/>
    <n v="38"/>
    <n v="4"/>
    <x v="0"/>
    <n v="2"/>
  </r>
  <r>
    <x v="0"/>
    <s v="2024-05-29"/>
    <n v="1492"/>
    <x v="1"/>
    <x v="3"/>
    <x v="3"/>
    <n v="0"/>
    <n v="8"/>
    <x v="2"/>
    <n v="4"/>
  </r>
  <r>
    <x v="3"/>
    <s v="2024-09-04"/>
    <n v="1164"/>
    <x v="1"/>
    <x v="1"/>
    <x v="2"/>
    <n v="16"/>
    <n v="3"/>
    <x v="0"/>
    <n v="2"/>
  </r>
  <r>
    <x v="0"/>
    <s v="2024-04-08"/>
    <n v="644"/>
    <x v="1"/>
    <x v="3"/>
    <x v="1"/>
    <n v="40"/>
    <n v="10"/>
    <x v="0"/>
    <n v="3"/>
  </r>
  <r>
    <x v="3"/>
    <s v="2024-04-04"/>
    <n v="1748"/>
    <x v="1"/>
    <x v="0"/>
    <x v="1"/>
    <n v="29"/>
    <n v="8"/>
    <x v="0"/>
    <n v="2"/>
  </r>
  <r>
    <x v="0"/>
    <s v="2024-03-21"/>
    <n v="1506"/>
    <x v="2"/>
    <x v="0"/>
    <x v="3"/>
    <n v="12"/>
    <n v="10"/>
    <x v="0"/>
    <n v="1"/>
  </r>
  <r>
    <x v="0"/>
    <s v="2024-09-21"/>
    <n v="1002"/>
    <x v="2"/>
    <x v="1"/>
    <x v="1"/>
    <n v="20"/>
    <n v="9"/>
    <x v="0"/>
    <n v="2"/>
  </r>
  <r>
    <x v="3"/>
    <s v="2024-08-22"/>
    <n v="1320"/>
    <x v="1"/>
    <x v="0"/>
    <x v="1"/>
    <n v="18"/>
    <n v="2"/>
    <x v="3"/>
    <n v="0"/>
  </r>
  <r>
    <x v="3"/>
    <s v="2024-12-19"/>
    <n v="603"/>
    <x v="2"/>
    <x v="0"/>
    <x v="1"/>
    <n v="18"/>
    <n v="7"/>
    <x v="3"/>
    <n v="5"/>
  </r>
  <r>
    <x v="3"/>
    <s v="2024-10-22"/>
    <n v="1562"/>
    <x v="0"/>
    <x v="3"/>
    <x v="2"/>
    <n v="24"/>
    <n v="0"/>
    <x v="1"/>
    <n v="1"/>
  </r>
  <r>
    <x v="2"/>
    <s v="2024-11-29"/>
    <n v="697"/>
    <x v="0"/>
    <x v="0"/>
    <x v="3"/>
    <n v="21"/>
    <n v="10"/>
    <x v="3"/>
    <n v="0"/>
  </r>
  <r>
    <x v="1"/>
    <s v="2024-07-31"/>
    <n v="1078"/>
    <x v="0"/>
    <x v="1"/>
    <x v="1"/>
    <n v="30"/>
    <n v="8"/>
    <x v="1"/>
    <n v="1"/>
  </r>
  <r>
    <x v="2"/>
    <s v="2024-02-11"/>
    <n v="890"/>
    <x v="1"/>
    <x v="3"/>
    <x v="0"/>
    <n v="16"/>
    <n v="8"/>
    <x v="1"/>
    <n v="3"/>
  </r>
  <r>
    <x v="2"/>
    <s v="2024-02-10"/>
    <n v="1702"/>
    <x v="0"/>
    <x v="2"/>
    <x v="0"/>
    <n v="22"/>
    <n v="9"/>
    <x v="2"/>
    <n v="5"/>
  </r>
  <r>
    <x v="0"/>
    <s v="2024-07-12"/>
    <n v="1053"/>
    <x v="2"/>
    <x v="3"/>
    <x v="0"/>
    <n v="31"/>
    <n v="1"/>
    <x v="0"/>
    <n v="5"/>
  </r>
  <r>
    <x v="3"/>
    <s v="2024-02-13"/>
    <n v="1971"/>
    <x v="1"/>
    <x v="1"/>
    <x v="0"/>
    <n v="9"/>
    <n v="3"/>
    <x v="3"/>
    <n v="3"/>
  </r>
  <r>
    <x v="1"/>
    <s v="2024-04-24"/>
    <n v="1538"/>
    <x v="2"/>
    <x v="3"/>
    <x v="2"/>
    <n v="9"/>
    <n v="7"/>
    <x v="2"/>
    <n v="5"/>
  </r>
  <r>
    <x v="0"/>
    <s v="2024-06-30"/>
    <n v="1812"/>
    <x v="0"/>
    <x v="3"/>
    <x v="1"/>
    <n v="35"/>
    <n v="6"/>
    <x v="3"/>
    <n v="3"/>
  </r>
  <r>
    <x v="2"/>
    <s v="2024-06-06"/>
    <n v="977"/>
    <x v="0"/>
    <x v="1"/>
    <x v="3"/>
    <n v="7"/>
    <n v="0"/>
    <x v="1"/>
    <n v="0"/>
  </r>
  <r>
    <x v="3"/>
    <s v="2024-11-27"/>
    <n v="1754"/>
    <x v="0"/>
    <x v="3"/>
    <x v="1"/>
    <n v="19"/>
    <n v="4"/>
    <x v="3"/>
    <n v="4"/>
  </r>
  <r>
    <x v="0"/>
    <s v="2024-12-04"/>
    <n v="1422"/>
    <x v="1"/>
    <x v="1"/>
    <x v="2"/>
    <n v="31"/>
    <n v="6"/>
    <x v="0"/>
    <n v="1"/>
  </r>
  <r>
    <x v="3"/>
    <s v="2024-02-15"/>
    <n v="919"/>
    <x v="2"/>
    <x v="1"/>
    <x v="0"/>
    <n v="49"/>
    <n v="3"/>
    <x v="1"/>
    <n v="3"/>
  </r>
  <r>
    <x v="0"/>
    <s v="2024-11-14"/>
    <n v="656"/>
    <x v="1"/>
    <x v="2"/>
    <x v="2"/>
    <n v="13"/>
    <n v="0"/>
    <x v="1"/>
    <n v="1"/>
  </r>
  <r>
    <x v="3"/>
    <s v="2024-11-20"/>
    <n v="1049"/>
    <x v="1"/>
    <x v="0"/>
    <x v="1"/>
    <n v="49"/>
    <n v="8"/>
    <x v="2"/>
    <n v="0"/>
  </r>
  <r>
    <x v="2"/>
    <s v="2024-02-24"/>
    <n v="1964"/>
    <x v="0"/>
    <x v="0"/>
    <x v="3"/>
    <n v="27"/>
    <n v="4"/>
    <x v="0"/>
    <n v="4"/>
  </r>
  <r>
    <x v="1"/>
    <s v="2024-06-04"/>
    <n v="1620"/>
    <x v="1"/>
    <x v="3"/>
    <x v="2"/>
    <n v="45"/>
    <n v="10"/>
    <x v="1"/>
    <n v="0"/>
  </r>
  <r>
    <x v="2"/>
    <s v="2024-11-12"/>
    <n v="1520"/>
    <x v="1"/>
    <x v="3"/>
    <x v="3"/>
    <n v="23"/>
    <n v="1"/>
    <x v="0"/>
    <n v="5"/>
  </r>
  <r>
    <x v="1"/>
    <s v="2024-05-29"/>
    <n v="1496"/>
    <x v="0"/>
    <x v="2"/>
    <x v="2"/>
    <n v="14"/>
    <n v="7"/>
    <x v="3"/>
    <n v="1"/>
  </r>
  <r>
    <x v="3"/>
    <s v="2024-08-20"/>
    <n v="1934"/>
    <x v="1"/>
    <x v="2"/>
    <x v="3"/>
    <n v="21"/>
    <n v="10"/>
    <x v="0"/>
    <n v="4"/>
  </r>
  <r>
    <x v="0"/>
    <s v="2024-06-29"/>
    <n v="1450"/>
    <x v="0"/>
    <x v="2"/>
    <x v="3"/>
    <n v="29"/>
    <n v="1"/>
    <x v="1"/>
    <n v="5"/>
  </r>
  <r>
    <x v="2"/>
    <s v="2024-01-02"/>
    <n v="788"/>
    <x v="0"/>
    <x v="1"/>
    <x v="0"/>
    <n v="3"/>
    <n v="2"/>
    <x v="2"/>
    <n v="4"/>
  </r>
  <r>
    <x v="1"/>
    <s v="2024-01-28"/>
    <n v="1777"/>
    <x v="0"/>
    <x v="2"/>
    <x v="3"/>
    <n v="12"/>
    <n v="9"/>
    <x v="1"/>
    <n v="5"/>
  </r>
  <r>
    <x v="2"/>
    <s v="2024-06-16"/>
    <n v="695"/>
    <x v="0"/>
    <x v="2"/>
    <x v="0"/>
    <n v="22"/>
    <n v="0"/>
    <x v="0"/>
    <n v="0"/>
  </r>
  <r>
    <x v="1"/>
    <s v="2024-09-21"/>
    <n v="1097"/>
    <x v="1"/>
    <x v="3"/>
    <x v="1"/>
    <n v="7"/>
    <n v="10"/>
    <x v="0"/>
    <n v="3"/>
  </r>
  <r>
    <x v="2"/>
    <s v="2024-01-14"/>
    <n v="1016"/>
    <x v="0"/>
    <x v="2"/>
    <x v="1"/>
    <n v="17"/>
    <n v="1"/>
    <x v="1"/>
    <n v="1"/>
  </r>
  <r>
    <x v="1"/>
    <s v="2024-05-03"/>
    <n v="1364"/>
    <x v="0"/>
    <x v="1"/>
    <x v="0"/>
    <n v="11"/>
    <n v="6"/>
    <x v="0"/>
    <n v="2"/>
  </r>
  <r>
    <x v="1"/>
    <s v="2024-08-20"/>
    <n v="1641"/>
    <x v="1"/>
    <x v="1"/>
    <x v="0"/>
    <n v="30"/>
    <n v="9"/>
    <x v="3"/>
    <n v="2"/>
  </r>
  <r>
    <x v="3"/>
    <s v="2024-12-09"/>
    <n v="1305"/>
    <x v="1"/>
    <x v="3"/>
    <x v="2"/>
    <n v="13"/>
    <n v="1"/>
    <x v="1"/>
    <n v="0"/>
  </r>
  <r>
    <x v="1"/>
    <s v="2024-10-14"/>
    <n v="1682"/>
    <x v="2"/>
    <x v="2"/>
    <x v="2"/>
    <n v="33"/>
    <n v="5"/>
    <x v="2"/>
    <n v="1"/>
  </r>
  <r>
    <x v="3"/>
    <s v="2024-08-07"/>
    <n v="1314"/>
    <x v="1"/>
    <x v="2"/>
    <x v="2"/>
    <n v="17"/>
    <n v="2"/>
    <x v="1"/>
    <n v="1"/>
  </r>
  <r>
    <x v="1"/>
    <s v="2024-05-27"/>
    <n v="727"/>
    <x v="1"/>
    <x v="1"/>
    <x v="1"/>
    <n v="33"/>
    <n v="3"/>
    <x v="3"/>
    <n v="0"/>
  </r>
  <r>
    <x v="0"/>
    <s v="2024-09-24"/>
    <n v="715"/>
    <x v="2"/>
    <x v="2"/>
    <x v="2"/>
    <n v="10"/>
    <n v="10"/>
    <x v="3"/>
    <n v="1"/>
  </r>
  <r>
    <x v="0"/>
    <s v="2024-02-03"/>
    <n v="1447"/>
    <x v="1"/>
    <x v="2"/>
    <x v="3"/>
    <n v="40"/>
    <n v="7"/>
    <x v="3"/>
    <n v="3"/>
  </r>
  <r>
    <x v="0"/>
    <s v="2024-12-08"/>
    <n v="514"/>
    <x v="1"/>
    <x v="2"/>
    <x v="3"/>
    <n v="11"/>
    <n v="2"/>
    <x v="3"/>
    <n v="0"/>
  </r>
  <r>
    <x v="1"/>
    <s v="2024-07-13"/>
    <n v="1680"/>
    <x v="1"/>
    <x v="0"/>
    <x v="2"/>
    <n v="48"/>
    <n v="9"/>
    <x v="3"/>
    <n v="3"/>
  </r>
  <r>
    <x v="3"/>
    <s v="2024-08-23"/>
    <n v="1784"/>
    <x v="1"/>
    <x v="3"/>
    <x v="3"/>
    <n v="14"/>
    <n v="5"/>
    <x v="2"/>
    <n v="1"/>
  </r>
  <r>
    <x v="3"/>
    <s v="2024-05-25"/>
    <n v="1680"/>
    <x v="2"/>
    <x v="0"/>
    <x v="1"/>
    <n v="30"/>
    <n v="0"/>
    <x v="0"/>
    <n v="0"/>
  </r>
  <r>
    <x v="1"/>
    <s v="2024-04-07"/>
    <n v="546"/>
    <x v="1"/>
    <x v="3"/>
    <x v="3"/>
    <n v="48"/>
    <n v="6"/>
    <x v="3"/>
    <n v="1"/>
  </r>
  <r>
    <x v="0"/>
    <s v="2024-06-21"/>
    <n v="823"/>
    <x v="1"/>
    <x v="1"/>
    <x v="1"/>
    <n v="28"/>
    <n v="7"/>
    <x v="3"/>
    <n v="0"/>
  </r>
  <r>
    <x v="0"/>
    <s v="2024-10-31"/>
    <n v="1343"/>
    <x v="2"/>
    <x v="2"/>
    <x v="0"/>
    <n v="25"/>
    <n v="10"/>
    <x v="1"/>
    <n v="1"/>
  </r>
  <r>
    <x v="3"/>
    <s v="2024-07-30"/>
    <n v="629"/>
    <x v="0"/>
    <x v="3"/>
    <x v="0"/>
    <n v="17"/>
    <n v="7"/>
    <x v="2"/>
    <n v="3"/>
  </r>
  <r>
    <x v="0"/>
    <s v="2024-05-11"/>
    <n v="1934"/>
    <x v="2"/>
    <x v="0"/>
    <x v="0"/>
    <n v="31"/>
    <n v="2"/>
    <x v="2"/>
    <n v="3"/>
  </r>
  <r>
    <x v="2"/>
    <s v="2024-06-12"/>
    <n v="594"/>
    <x v="0"/>
    <x v="2"/>
    <x v="0"/>
    <n v="21"/>
    <n v="9"/>
    <x v="0"/>
    <n v="1"/>
  </r>
  <r>
    <x v="3"/>
    <s v="2024-02-10"/>
    <n v="1126"/>
    <x v="2"/>
    <x v="1"/>
    <x v="3"/>
    <n v="37"/>
    <n v="0"/>
    <x v="2"/>
    <n v="0"/>
  </r>
  <r>
    <x v="0"/>
    <s v="2024-11-08"/>
    <n v="1254"/>
    <x v="2"/>
    <x v="3"/>
    <x v="2"/>
    <n v="16"/>
    <n v="8"/>
    <x v="1"/>
    <n v="2"/>
  </r>
  <r>
    <x v="3"/>
    <s v="2024-08-22"/>
    <n v="1815"/>
    <x v="1"/>
    <x v="3"/>
    <x v="3"/>
    <n v="22"/>
    <n v="5"/>
    <x v="1"/>
    <n v="3"/>
  </r>
  <r>
    <x v="2"/>
    <s v="2024-03-17"/>
    <n v="1293"/>
    <x v="0"/>
    <x v="3"/>
    <x v="1"/>
    <n v="23"/>
    <n v="10"/>
    <x v="0"/>
    <n v="3"/>
  </r>
  <r>
    <x v="3"/>
    <s v="2024-08-23"/>
    <n v="1806"/>
    <x v="1"/>
    <x v="2"/>
    <x v="3"/>
    <n v="49"/>
    <n v="8"/>
    <x v="1"/>
    <n v="5"/>
  </r>
  <r>
    <x v="3"/>
    <s v="2024-08-08"/>
    <n v="568"/>
    <x v="0"/>
    <x v="0"/>
    <x v="3"/>
    <n v="7"/>
    <n v="6"/>
    <x v="3"/>
    <n v="2"/>
  </r>
  <r>
    <x v="3"/>
    <s v="2024-09-01"/>
    <n v="510"/>
    <x v="2"/>
    <x v="0"/>
    <x v="1"/>
    <n v="40"/>
    <n v="0"/>
    <x v="3"/>
    <n v="1"/>
  </r>
  <r>
    <x v="3"/>
    <s v="2024-10-31"/>
    <n v="1777"/>
    <x v="2"/>
    <x v="3"/>
    <x v="0"/>
    <n v="5"/>
    <n v="0"/>
    <x v="1"/>
    <n v="0"/>
  </r>
  <r>
    <x v="2"/>
    <s v="2024-07-17"/>
    <n v="1371"/>
    <x v="0"/>
    <x v="1"/>
    <x v="0"/>
    <n v="4"/>
    <n v="5"/>
    <x v="0"/>
    <n v="5"/>
  </r>
  <r>
    <x v="1"/>
    <s v="2024-10-09"/>
    <n v="1049"/>
    <x v="1"/>
    <x v="1"/>
    <x v="0"/>
    <n v="43"/>
    <n v="4"/>
    <x v="2"/>
    <n v="1"/>
  </r>
  <r>
    <x v="3"/>
    <s v="2024-09-29"/>
    <n v="1657"/>
    <x v="1"/>
    <x v="0"/>
    <x v="2"/>
    <n v="28"/>
    <n v="8"/>
    <x v="0"/>
    <n v="4"/>
  </r>
  <r>
    <x v="3"/>
    <s v="2024-06-29"/>
    <n v="1211"/>
    <x v="1"/>
    <x v="1"/>
    <x v="1"/>
    <n v="27"/>
    <n v="1"/>
    <x v="2"/>
    <n v="3"/>
  </r>
  <r>
    <x v="0"/>
    <s v="2024-12-10"/>
    <n v="522"/>
    <x v="1"/>
    <x v="0"/>
    <x v="1"/>
    <n v="10"/>
    <n v="7"/>
    <x v="1"/>
    <n v="4"/>
  </r>
  <r>
    <x v="3"/>
    <s v="2024-06-19"/>
    <n v="1314"/>
    <x v="2"/>
    <x v="3"/>
    <x v="3"/>
    <n v="0"/>
    <n v="10"/>
    <x v="1"/>
    <n v="3"/>
  </r>
  <r>
    <x v="0"/>
    <s v="2024-02-02"/>
    <n v="845"/>
    <x v="2"/>
    <x v="0"/>
    <x v="2"/>
    <n v="42"/>
    <n v="4"/>
    <x v="3"/>
    <n v="3"/>
  </r>
  <r>
    <x v="1"/>
    <s v="2024-11-13"/>
    <n v="801"/>
    <x v="2"/>
    <x v="0"/>
    <x v="0"/>
    <n v="18"/>
    <n v="1"/>
    <x v="2"/>
    <n v="4"/>
  </r>
  <r>
    <x v="2"/>
    <s v="2024-01-15"/>
    <n v="862"/>
    <x v="2"/>
    <x v="3"/>
    <x v="2"/>
    <n v="8"/>
    <n v="9"/>
    <x v="0"/>
    <n v="4"/>
  </r>
  <r>
    <x v="2"/>
    <s v="2024-03-08"/>
    <n v="895"/>
    <x v="2"/>
    <x v="1"/>
    <x v="1"/>
    <n v="26"/>
    <n v="10"/>
    <x v="1"/>
    <n v="1"/>
  </r>
  <r>
    <x v="1"/>
    <s v="2024-04-17"/>
    <n v="717"/>
    <x v="1"/>
    <x v="0"/>
    <x v="1"/>
    <n v="33"/>
    <n v="10"/>
    <x v="0"/>
    <n v="5"/>
  </r>
  <r>
    <x v="2"/>
    <s v="2024-07-09"/>
    <n v="640"/>
    <x v="1"/>
    <x v="0"/>
    <x v="3"/>
    <n v="43"/>
    <n v="5"/>
    <x v="3"/>
    <n v="5"/>
  </r>
  <r>
    <x v="1"/>
    <s v="2024-06-04"/>
    <n v="1457"/>
    <x v="1"/>
    <x v="3"/>
    <x v="3"/>
    <n v="3"/>
    <n v="9"/>
    <x v="2"/>
    <n v="4"/>
  </r>
  <r>
    <x v="1"/>
    <s v="2024-05-01"/>
    <n v="1733"/>
    <x v="1"/>
    <x v="1"/>
    <x v="1"/>
    <n v="35"/>
    <n v="7"/>
    <x v="2"/>
    <n v="1"/>
  </r>
  <r>
    <x v="1"/>
    <s v="2024-09-26"/>
    <n v="1484"/>
    <x v="2"/>
    <x v="0"/>
    <x v="0"/>
    <n v="17"/>
    <n v="3"/>
    <x v="1"/>
    <n v="5"/>
  </r>
  <r>
    <x v="2"/>
    <s v="2024-03-23"/>
    <n v="1492"/>
    <x v="2"/>
    <x v="3"/>
    <x v="0"/>
    <n v="14"/>
    <n v="1"/>
    <x v="2"/>
    <n v="1"/>
  </r>
  <r>
    <x v="0"/>
    <s v="2024-12-23"/>
    <n v="1327"/>
    <x v="2"/>
    <x v="0"/>
    <x v="2"/>
    <n v="50"/>
    <n v="10"/>
    <x v="1"/>
    <n v="1"/>
  </r>
  <r>
    <x v="1"/>
    <s v="2024-03-26"/>
    <n v="1182"/>
    <x v="0"/>
    <x v="2"/>
    <x v="1"/>
    <n v="12"/>
    <n v="4"/>
    <x v="3"/>
    <n v="3"/>
  </r>
  <r>
    <x v="3"/>
    <s v="2024-02-29"/>
    <n v="1983"/>
    <x v="1"/>
    <x v="3"/>
    <x v="1"/>
    <n v="18"/>
    <n v="1"/>
    <x v="2"/>
    <n v="5"/>
  </r>
  <r>
    <x v="2"/>
    <s v="2024-06-10"/>
    <n v="1503"/>
    <x v="1"/>
    <x v="1"/>
    <x v="0"/>
    <n v="48"/>
    <n v="1"/>
    <x v="1"/>
    <n v="5"/>
  </r>
  <r>
    <x v="1"/>
    <s v="2024-11-05"/>
    <n v="855"/>
    <x v="2"/>
    <x v="1"/>
    <x v="0"/>
    <n v="5"/>
    <n v="5"/>
    <x v="0"/>
    <n v="3"/>
  </r>
  <r>
    <x v="1"/>
    <s v="2024-08-09"/>
    <n v="1507"/>
    <x v="1"/>
    <x v="1"/>
    <x v="1"/>
    <n v="47"/>
    <n v="10"/>
    <x v="1"/>
    <n v="4"/>
  </r>
  <r>
    <x v="3"/>
    <s v="2024-12-19"/>
    <n v="1847"/>
    <x v="1"/>
    <x v="1"/>
    <x v="3"/>
    <n v="11"/>
    <n v="9"/>
    <x v="2"/>
    <n v="3"/>
  </r>
  <r>
    <x v="0"/>
    <s v="2024-08-02"/>
    <n v="1656"/>
    <x v="2"/>
    <x v="0"/>
    <x v="1"/>
    <n v="50"/>
    <n v="8"/>
    <x v="3"/>
    <n v="5"/>
  </r>
  <r>
    <x v="0"/>
    <s v="2024-06-21"/>
    <n v="1387"/>
    <x v="0"/>
    <x v="0"/>
    <x v="1"/>
    <n v="36"/>
    <n v="3"/>
    <x v="2"/>
    <n v="5"/>
  </r>
  <r>
    <x v="0"/>
    <s v="2024-11-14"/>
    <n v="626"/>
    <x v="0"/>
    <x v="1"/>
    <x v="0"/>
    <n v="16"/>
    <n v="5"/>
    <x v="2"/>
    <n v="4"/>
  </r>
  <r>
    <x v="1"/>
    <s v="2024-07-07"/>
    <n v="1629"/>
    <x v="0"/>
    <x v="1"/>
    <x v="0"/>
    <n v="22"/>
    <n v="6"/>
    <x v="1"/>
    <n v="3"/>
  </r>
  <r>
    <x v="1"/>
    <s v="2024-04-26"/>
    <n v="1508"/>
    <x v="2"/>
    <x v="1"/>
    <x v="3"/>
    <n v="25"/>
    <n v="10"/>
    <x v="0"/>
    <n v="0"/>
  </r>
  <r>
    <x v="1"/>
    <s v="2024-03-06"/>
    <n v="1103"/>
    <x v="1"/>
    <x v="0"/>
    <x v="3"/>
    <n v="28"/>
    <n v="5"/>
    <x v="2"/>
    <n v="0"/>
  </r>
  <r>
    <x v="2"/>
    <s v="2024-10-01"/>
    <n v="1901"/>
    <x v="2"/>
    <x v="1"/>
    <x v="2"/>
    <n v="32"/>
    <n v="7"/>
    <x v="0"/>
    <n v="4"/>
  </r>
  <r>
    <x v="3"/>
    <s v="2024-07-04"/>
    <n v="1513"/>
    <x v="2"/>
    <x v="1"/>
    <x v="1"/>
    <n v="26"/>
    <n v="3"/>
    <x v="1"/>
    <n v="3"/>
  </r>
  <r>
    <x v="1"/>
    <s v="2024-10-30"/>
    <n v="550"/>
    <x v="1"/>
    <x v="2"/>
    <x v="0"/>
    <n v="24"/>
    <n v="0"/>
    <x v="0"/>
    <n v="3"/>
  </r>
  <r>
    <x v="3"/>
    <s v="2024-03-10"/>
    <n v="1552"/>
    <x v="0"/>
    <x v="2"/>
    <x v="3"/>
    <n v="9"/>
    <n v="6"/>
    <x v="1"/>
    <n v="1"/>
  </r>
  <r>
    <x v="3"/>
    <s v="2024-02-26"/>
    <n v="1985"/>
    <x v="0"/>
    <x v="1"/>
    <x v="2"/>
    <n v="46"/>
    <n v="2"/>
    <x v="3"/>
    <n v="5"/>
  </r>
  <r>
    <x v="0"/>
    <s v="2024-05-02"/>
    <n v="1819"/>
    <x v="2"/>
    <x v="3"/>
    <x v="2"/>
    <n v="22"/>
    <n v="5"/>
    <x v="0"/>
    <n v="2"/>
  </r>
  <r>
    <x v="2"/>
    <s v="2024-10-11"/>
    <n v="1820"/>
    <x v="0"/>
    <x v="1"/>
    <x v="0"/>
    <n v="20"/>
    <n v="1"/>
    <x v="0"/>
    <n v="4"/>
  </r>
  <r>
    <x v="1"/>
    <s v="2024-10-12"/>
    <n v="1278"/>
    <x v="2"/>
    <x v="2"/>
    <x v="0"/>
    <n v="20"/>
    <n v="8"/>
    <x v="3"/>
    <n v="2"/>
  </r>
  <r>
    <x v="0"/>
    <s v="2024-10-28"/>
    <n v="1930"/>
    <x v="2"/>
    <x v="3"/>
    <x v="2"/>
    <n v="42"/>
    <n v="0"/>
    <x v="0"/>
    <n v="2"/>
  </r>
  <r>
    <x v="0"/>
    <s v="2024-06-14"/>
    <n v="1313"/>
    <x v="1"/>
    <x v="3"/>
    <x v="3"/>
    <n v="12"/>
    <n v="5"/>
    <x v="3"/>
    <n v="4"/>
  </r>
  <r>
    <x v="1"/>
    <s v="2024-09-17"/>
    <n v="1928"/>
    <x v="1"/>
    <x v="1"/>
    <x v="2"/>
    <n v="36"/>
    <n v="5"/>
    <x v="2"/>
    <n v="3"/>
  </r>
  <r>
    <x v="3"/>
    <s v="2024-05-21"/>
    <n v="1869"/>
    <x v="1"/>
    <x v="2"/>
    <x v="1"/>
    <n v="32"/>
    <n v="4"/>
    <x v="1"/>
    <n v="4"/>
  </r>
  <r>
    <x v="0"/>
    <s v="2024-08-08"/>
    <n v="919"/>
    <x v="2"/>
    <x v="2"/>
    <x v="1"/>
    <n v="23"/>
    <n v="4"/>
    <x v="3"/>
    <n v="2"/>
  </r>
  <r>
    <x v="3"/>
    <s v="2024-08-31"/>
    <n v="1705"/>
    <x v="1"/>
    <x v="3"/>
    <x v="0"/>
    <n v="43"/>
    <n v="0"/>
    <x v="0"/>
    <n v="5"/>
  </r>
  <r>
    <x v="2"/>
    <s v="2024-06-24"/>
    <n v="1482"/>
    <x v="0"/>
    <x v="1"/>
    <x v="3"/>
    <n v="10"/>
    <n v="9"/>
    <x v="3"/>
    <n v="5"/>
  </r>
  <r>
    <x v="3"/>
    <s v="2024-01-11"/>
    <n v="1324"/>
    <x v="0"/>
    <x v="0"/>
    <x v="3"/>
    <n v="16"/>
    <n v="4"/>
    <x v="0"/>
    <n v="5"/>
  </r>
  <r>
    <x v="2"/>
    <s v="2024-03-31"/>
    <n v="1524"/>
    <x v="2"/>
    <x v="0"/>
    <x v="1"/>
    <n v="3"/>
    <n v="1"/>
    <x v="2"/>
    <n v="3"/>
  </r>
  <r>
    <x v="3"/>
    <s v="2024-11-17"/>
    <n v="1066"/>
    <x v="2"/>
    <x v="2"/>
    <x v="2"/>
    <n v="46"/>
    <n v="6"/>
    <x v="3"/>
    <n v="0"/>
  </r>
  <r>
    <x v="0"/>
    <s v="2024-11-27"/>
    <n v="870"/>
    <x v="1"/>
    <x v="0"/>
    <x v="0"/>
    <n v="24"/>
    <n v="2"/>
    <x v="2"/>
    <n v="4"/>
  </r>
  <r>
    <x v="0"/>
    <s v="2024-07-24"/>
    <n v="1435"/>
    <x v="2"/>
    <x v="2"/>
    <x v="2"/>
    <n v="29"/>
    <n v="3"/>
    <x v="1"/>
    <n v="5"/>
  </r>
  <r>
    <x v="2"/>
    <s v="2024-08-20"/>
    <n v="1160"/>
    <x v="2"/>
    <x v="2"/>
    <x v="2"/>
    <n v="8"/>
    <n v="2"/>
    <x v="0"/>
    <n v="4"/>
  </r>
  <r>
    <x v="1"/>
    <s v="2024-05-06"/>
    <n v="1954"/>
    <x v="0"/>
    <x v="2"/>
    <x v="2"/>
    <n v="20"/>
    <n v="2"/>
    <x v="0"/>
    <n v="5"/>
  </r>
  <r>
    <x v="2"/>
    <s v="2024-02-22"/>
    <n v="1468"/>
    <x v="0"/>
    <x v="0"/>
    <x v="3"/>
    <n v="19"/>
    <n v="3"/>
    <x v="2"/>
    <n v="3"/>
  </r>
  <r>
    <x v="2"/>
    <s v="2024-12-25"/>
    <n v="1832"/>
    <x v="1"/>
    <x v="2"/>
    <x v="1"/>
    <n v="18"/>
    <n v="4"/>
    <x v="1"/>
    <n v="0"/>
  </r>
  <r>
    <x v="3"/>
    <s v="2024-02-28"/>
    <n v="1660"/>
    <x v="2"/>
    <x v="3"/>
    <x v="3"/>
    <n v="18"/>
    <n v="0"/>
    <x v="3"/>
    <n v="0"/>
  </r>
  <r>
    <x v="3"/>
    <s v="2024-12-06"/>
    <n v="701"/>
    <x v="2"/>
    <x v="1"/>
    <x v="1"/>
    <n v="11"/>
    <n v="3"/>
    <x v="3"/>
    <n v="5"/>
  </r>
  <r>
    <x v="2"/>
    <s v="2024-06-30"/>
    <n v="1959"/>
    <x v="0"/>
    <x v="1"/>
    <x v="0"/>
    <n v="36"/>
    <n v="10"/>
    <x v="0"/>
    <n v="3"/>
  </r>
  <r>
    <x v="0"/>
    <s v="2024-02-25"/>
    <n v="812"/>
    <x v="2"/>
    <x v="2"/>
    <x v="0"/>
    <n v="41"/>
    <n v="7"/>
    <x v="2"/>
    <n v="1"/>
  </r>
  <r>
    <x v="3"/>
    <s v="2024-03-18"/>
    <n v="616"/>
    <x v="0"/>
    <x v="1"/>
    <x v="2"/>
    <n v="16"/>
    <n v="9"/>
    <x v="2"/>
    <n v="4"/>
  </r>
  <r>
    <x v="1"/>
    <s v="2024-06-10"/>
    <n v="1436"/>
    <x v="1"/>
    <x v="0"/>
    <x v="1"/>
    <n v="36"/>
    <n v="6"/>
    <x v="3"/>
    <n v="4"/>
  </r>
  <r>
    <x v="3"/>
    <s v="2024-08-07"/>
    <n v="1074"/>
    <x v="0"/>
    <x v="0"/>
    <x v="1"/>
    <n v="47"/>
    <n v="8"/>
    <x v="1"/>
    <n v="2"/>
  </r>
  <r>
    <x v="3"/>
    <s v="2024-03-22"/>
    <n v="743"/>
    <x v="2"/>
    <x v="1"/>
    <x v="1"/>
    <n v="38"/>
    <n v="4"/>
    <x v="1"/>
    <n v="3"/>
  </r>
  <r>
    <x v="1"/>
    <s v="2024-08-05"/>
    <n v="1036"/>
    <x v="1"/>
    <x v="0"/>
    <x v="2"/>
    <n v="27"/>
    <n v="9"/>
    <x v="3"/>
    <n v="2"/>
  </r>
  <r>
    <x v="2"/>
    <s v="2024-02-09"/>
    <n v="574"/>
    <x v="0"/>
    <x v="1"/>
    <x v="2"/>
    <n v="40"/>
    <n v="3"/>
    <x v="3"/>
    <n v="5"/>
  </r>
  <r>
    <x v="1"/>
    <s v="2024-03-31"/>
    <n v="885"/>
    <x v="0"/>
    <x v="1"/>
    <x v="0"/>
    <n v="34"/>
    <n v="7"/>
    <x v="2"/>
    <n v="2"/>
  </r>
  <r>
    <x v="2"/>
    <s v="2024-09-13"/>
    <n v="1733"/>
    <x v="1"/>
    <x v="1"/>
    <x v="3"/>
    <n v="46"/>
    <n v="8"/>
    <x v="1"/>
    <n v="0"/>
  </r>
  <r>
    <x v="2"/>
    <s v="2024-03-18"/>
    <n v="974"/>
    <x v="1"/>
    <x v="2"/>
    <x v="1"/>
    <n v="47"/>
    <n v="6"/>
    <x v="3"/>
    <n v="4"/>
  </r>
  <r>
    <x v="2"/>
    <s v="2024-05-17"/>
    <n v="917"/>
    <x v="0"/>
    <x v="1"/>
    <x v="1"/>
    <n v="17"/>
    <n v="6"/>
    <x v="3"/>
    <n v="2"/>
  </r>
  <r>
    <x v="1"/>
    <s v="2024-09-26"/>
    <n v="846"/>
    <x v="2"/>
    <x v="2"/>
    <x v="3"/>
    <n v="13"/>
    <n v="4"/>
    <x v="0"/>
    <n v="0"/>
  </r>
  <r>
    <x v="2"/>
    <s v="2024-05-17"/>
    <n v="1139"/>
    <x v="0"/>
    <x v="1"/>
    <x v="1"/>
    <n v="34"/>
    <n v="3"/>
    <x v="3"/>
    <n v="3"/>
  </r>
  <r>
    <x v="0"/>
    <s v="2024-06-24"/>
    <n v="1438"/>
    <x v="1"/>
    <x v="1"/>
    <x v="2"/>
    <n v="43"/>
    <n v="9"/>
    <x v="3"/>
    <n v="2"/>
  </r>
  <r>
    <x v="1"/>
    <s v="2024-05-06"/>
    <n v="1454"/>
    <x v="0"/>
    <x v="1"/>
    <x v="2"/>
    <n v="40"/>
    <n v="0"/>
    <x v="1"/>
    <n v="5"/>
  </r>
  <r>
    <x v="0"/>
    <s v="2024-04-27"/>
    <n v="1375"/>
    <x v="1"/>
    <x v="0"/>
    <x v="1"/>
    <n v="6"/>
    <n v="9"/>
    <x v="2"/>
    <n v="5"/>
  </r>
  <r>
    <x v="2"/>
    <s v="2024-11-23"/>
    <n v="1262"/>
    <x v="1"/>
    <x v="2"/>
    <x v="2"/>
    <n v="40"/>
    <n v="9"/>
    <x v="1"/>
    <n v="5"/>
  </r>
  <r>
    <x v="3"/>
    <s v="2024-02-04"/>
    <n v="1702"/>
    <x v="2"/>
    <x v="2"/>
    <x v="2"/>
    <n v="12"/>
    <n v="6"/>
    <x v="2"/>
    <n v="4"/>
  </r>
  <r>
    <x v="2"/>
    <s v="2024-03-22"/>
    <n v="1705"/>
    <x v="1"/>
    <x v="1"/>
    <x v="1"/>
    <n v="17"/>
    <n v="0"/>
    <x v="0"/>
    <n v="2"/>
  </r>
  <r>
    <x v="0"/>
    <s v="2024-11-30"/>
    <n v="1163"/>
    <x v="1"/>
    <x v="1"/>
    <x v="0"/>
    <n v="36"/>
    <n v="0"/>
    <x v="3"/>
    <n v="3"/>
  </r>
  <r>
    <x v="0"/>
    <s v="2024-11-14"/>
    <n v="524"/>
    <x v="2"/>
    <x v="0"/>
    <x v="3"/>
    <n v="12"/>
    <n v="4"/>
    <x v="0"/>
    <n v="2"/>
  </r>
  <r>
    <x v="1"/>
    <s v="2024-11-15"/>
    <n v="1703"/>
    <x v="1"/>
    <x v="0"/>
    <x v="2"/>
    <n v="35"/>
    <n v="8"/>
    <x v="2"/>
    <n v="4"/>
  </r>
  <r>
    <x v="3"/>
    <s v="2024-10-05"/>
    <n v="1209"/>
    <x v="2"/>
    <x v="0"/>
    <x v="0"/>
    <n v="30"/>
    <n v="5"/>
    <x v="1"/>
    <n v="0"/>
  </r>
  <r>
    <x v="1"/>
    <s v="2024-07-12"/>
    <n v="1684"/>
    <x v="2"/>
    <x v="2"/>
    <x v="2"/>
    <n v="1"/>
    <n v="2"/>
    <x v="1"/>
    <n v="4"/>
  </r>
  <r>
    <x v="0"/>
    <s v="2024-02-05"/>
    <n v="676"/>
    <x v="1"/>
    <x v="2"/>
    <x v="2"/>
    <n v="15"/>
    <n v="2"/>
    <x v="0"/>
    <n v="5"/>
  </r>
  <r>
    <x v="2"/>
    <s v="2024-12-09"/>
    <n v="784"/>
    <x v="1"/>
    <x v="2"/>
    <x v="3"/>
    <n v="8"/>
    <n v="6"/>
    <x v="2"/>
    <n v="0"/>
  </r>
  <r>
    <x v="3"/>
    <s v="2024-03-25"/>
    <n v="562"/>
    <x v="0"/>
    <x v="1"/>
    <x v="2"/>
    <n v="8"/>
    <n v="5"/>
    <x v="0"/>
    <n v="5"/>
  </r>
  <r>
    <x v="2"/>
    <s v="2024-03-25"/>
    <n v="1502"/>
    <x v="2"/>
    <x v="2"/>
    <x v="3"/>
    <n v="37"/>
    <n v="8"/>
    <x v="0"/>
    <n v="1"/>
  </r>
  <r>
    <x v="2"/>
    <s v="2024-05-27"/>
    <n v="1161"/>
    <x v="0"/>
    <x v="3"/>
    <x v="3"/>
    <n v="10"/>
    <n v="5"/>
    <x v="3"/>
    <n v="4"/>
  </r>
  <r>
    <x v="3"/>
    <s v="2024-11-11"/>
    <n v="1165"/>
    <x v="1"/>
    <x v="3"/>
    <x v="3"/>
    <n v="21"/>
    <n v="4"/>
    <x v="0"/>
    <n v="4"/>
  </r>
  <r>
    <x v="1"/>
    <s v="2024-12-21"/>
    <n v="655"/>
    <x v="0"/>
    <x v="0"/>
    <x v="0"/>
    <n v="32"/>
    <n v="9"/>
    <x v="3"/>
    <n v="3"/>
  </r>
  <r>
    <x v="2"/>
    <s v="2024-10-15"/>
    <n v="1992"/>
    <x v="2"/>
    <x v="2"/>
    <x v="1"/>
    <n v="35"/>
    <n v="6"/>
    <x v="3"/>
    <n v="2"/>
  </r>
  <r>
    <x v="0"/>
    <s v="2024-12-09"/>
    <n v="1572"/>
    <x v="0"/>
    <x v="3"/>
    <x v="0"/>
    <n v="44"/>
    <n v="0"/>
    <x v="1"/>
    <n v="0"/>
  </r>
  <r>
    <x v="2"/>
    <s v="2024-03-31"/>
    <n v="1466"/>
    <x v="2"/>
    <x v="0"/>
    <x v="1"/>
    <n v="22"/>
    <n v="6"/>
    <x v="3"/>
    <n v="0"/>
  </r>
  <r>
    <x v="3"/>
    <s v="2024-09-29"/>
    <n v="1348"/>
    <x v="1"/>
    <x v="2"/>
    <x v="1"/>
    <n v="44"/>
    <n v="2"/>
    <x v="3"/>
    <n v="3"/>
  </r>
  <r>
    <x v="3"/>
    <s v="2024-03-07"/>
    <n v="1607"/>
    <x v="1"/>
    <x v="1"/>
    <x v="3"/>
    <n v="44"/>
    <n v="8"/>
    <x v="1"/>
    <n v="3"/>
  </r>
  <r>
    <x v="3"/>
    <s v="2024-06-06"/>
    <n v="1884"/>
    <x v="2"/>
    <x v="3"/>
    <x v="2"/>
    <n v="33"/>
    <n v="5"/>
    <x v="0"/>
    <n v="2"/>
  </r>
  <r>
    <x v="1"/>
    <s v="2024-05-15"/>
    <n v="1188"/>
    <x v="1"/>
    <x v="1"/>
    <x v="3"/>
    <n v="8"/>
    <n v="8"/>
    <x v="2"/>
    <n v="5"/>
  </r>
  <r>
    <x v="2"/>
    <s v="2024-11-24"/>
    <n v="647"/>
    <x v="1"/>
    <x v="2"/>
    <x v="2"/>
    <n v="23"/>
    <n v="4"/>
    <x v="2"/>
    <n v="2"/>
  </r>
  <r>
    <x v="1"/>
    <s v="2024-08-20"/>
    <n v="841"/>
    <x v="1"/>
    <x v="3"/>
    <x v="1"/>
    <n v="7"/>
    <n v="6"/>
    <x v="2"/>
    <n v="4"/>
  </r>
  <r>
    <x v="1"/>
    <s v="2024-01-12"/>
    <n v="975"/>
    <x v="1"/>
    <x v="2"/>
    <x v="3"/>
    <n v="6"/>
    <n v="3"/>
    <x v="0"/>
    <n v="5"/>
  </r>
  <r>
    <x v="3"/>
    <s v="2024-08-23"/>
    <n v="1586"/>
    <x v="2"/>
    <x v="1"/>
    <x v="2"/>
    <n v="35"/>
    <n v="6"/>
    <x v="3"/>
    <n v="1"/>
  </r>
  <r>
    <x v="3"/>
    <s v="2024-12-21"/>
    <n v="1883"/>
    <x v="0"/>
    <x v="3"/>
    <x v="0"/>
    <n v="17"/>
    <n v="0"/>
    <x v="2"/>
    <n v="2"/>
  </r>
  <r>
    <x v="1"/>
    <s v="2024-01-22"/>
    <n v="1060"/>
    <x v="0"/>
    <x v="1"/>
    <x v="2"/>
    <n v="2"/>
    <n v="6"/>
    <x v="0"/>
    <n v="3"/>
  </r>
  <r>
    <x v="2"/>
    <s v="2024-06-13"/>
    <n v="826"/>
    <x v="1"/>
    <x v="2"/>
    <x v="3"/>
    <n v="27"/>
    <n v="7"/>
    <x v="3"/>
    <n v="5"/>
  </r>
  <r>
    <x v="0"/>
    <s v="2024-11-07"/>
    <n v="1664"/>
    <x v="0"/>
    <x v="2"/>
    <x v="0"/>
    <n v="5"/>
    <n v="4"/>
    <x v="1"/>
    <n v="2"/>
  </r>
  <r>
    <x v="1"/>
    <s v="2024-02-03"/>
    <n v="1489"/>
    <x v="0"/>
    <x v="1"/>
    <x v="2"/>
    <n v="43"/>
    <n v="1"/>
    <x v="2"/>
    <n v="0"/>
  </r>
  <r>
    <x v="2"/>
    <s v="2024-02-29"/>
    <n v="714"/>
    <x v="1"/>
    <x v="3"/>
    <x v="2"/>
    <n v="43"/>
    <n v="4"/>
    <x v="3"/>
    <n v="1"/>
  </r>
  <r>
    <x v="3"/>
    <s v="2024-09-01"/>
    <n v="934"/>
    <x v="1"/>
    <x v="1"/>
    <x v="2"/>
    <n v="20"/>
    <n v="5"/>
    <x v="2"/>
    <n v="4"/>
  </r>
  <r>
    <x v="3"/>
    <s v="2024-04-19"/>
    <n v="1451"/>
    <x v="0"/>
    <x v="2"/>
    <x v="2"/>
    <n v="27"/>
    <n v="1"/>
    <x v="2"/>
    <n v="0"/>
  </r>
  <r>
    <x v="2"/>
    <s v="2024-10-18"/>
    <n v="1222"/>
    <x v="2"/>
    <x v="1"/>
    <x v="2"/>
    <n v="39"/>
    <n v="5"/>
    <x v="2"/>
    <n v="0"/>
  </r>
  <r>
    <x v="0"/>
    <s v="2024-01-02"/>
    <n v="1841"/>
    <x v="1"/>
    <x v="2"/>
    <x v="0"/>
    <n v="0"/>
    <n v="5"/>
    <x v="3"/>
    <n v="1"/>
  </r>
  <r>
    <x v="3"/>
    <s v="2024-11-06"/>
    <n v="531"/>
    <x v="2"/>
    <x v="1"/>
    <x v="1"/>
    <n v="35"/>
    <n v="0"/>
    <x v="0"/>
    <n v="4"/>
  </r>
  <r>
    <x v="3"/>
    <s v="2024-02-02"/>
    <n v="1169"/>
    <x v="0"/>
    <x v="3"/>
    <x v="0"/>
    <n v="20"/>
    <n v="0"/>
    <x v="3"/>
    <n v="3"/>
  </r>
  <r>
    <x v="3"/>
    <s v="2024-02-12"/>
    <n v="784"/>
    <x v="1"/>
    <x v="3"/>
    <x v="0"/>
    <n v="42"/>
    <n v="10"/>
    <x v="2"/>
    <n v="5"/>
  </r>
  <r>
    <x v="2"/>
    <s v="2024-10-09"/>
    <n v="1828"/>
    <x v="2"/>
    <x v="1"/>
    <x v="0"/>
    <n v="34"/>
    <n v="9"/>
    <x v="3"/>
    <n v="4"/>
  </r>
  <r>
    <x v="1"/>
    <s v="2024-01-24"/>
    <n v="928"/>
    <x v="1"/>
    <x v="1"/>
    <x v="1"/>
    <n v="12"/>
    <n v="2"/>
    <x v="1"/>
    <n v="2"/>
  </r>
  <r>
    <x v="3"/>
    <s v="2024-10-04"/>
    <n v="2000"/>
    <x v="0"/>
    <x v="3"/>
    <x v="3"/>
    <n v="48"/>
    <n v="9"/>
    <x v="0"/>
    <n v="0"/>
  </r>
  <r>
    <x v="1"/>
    <s v="2024-01-30"/>
    <n v="785"/>
    <x v="2"/>
    <x v="2"/>
    <x v="1"/>
    <n v="9"/>
    <n v="9"/>
    <x v="3"/>
    <n v="2"/>
  </r>
  <r>
    <x v="0"/>
    <s v="2024-01-22"/>
    <n v="1667"/>
    <x v="0"/>
    <x v="3"/>
    <x v="0"/>
    <n v="43"/>
    <n v="2"/>
    <x v="1"/>
    <n v="3"/>
  </r>
  <r>
    <x v="3"/>
    <s v="2024-09-01"/>
    <n v="1947"/>
    <x v="0"/>
    <x v="2"/>
    <x v="2"/>
    <n v="46"/>
    <n v="3"/>
    <x v="0"/>
    <n v="2"/>
  </r>
  <r>
    <x v="3"/>
    <s v="2024-02-01"/>
    <n v="1542"/>
    <x v="1"/>
    <x v="1"/>
    <x v="2"/>
    <n v="9"/>
    <n v="1"/>
    <x v="1"/>
    <n v="4"/>
  </r>
  <r>
    <x v="0"/>
    <s v="2024-10-18"/>
    <n v="517"/>
    <x v="2"/>
    <x v="1"/>
    <x v="0"/>
    <n v="45"/>
    <n v="8"/>
    <x v="0"/>
    <n v="2"/>
  </r>
  <r>
    <x v="3"/>
    <s v="2024-08-10"/>
    <n v="1268"/>
    <x v="0"/>
    <x v="2"/>
    <x v="2"/>
    <n v="12"/>
    <n v="9"/>
    <x v="3"/>
    <n v="3"/>
  </r>
  <r>
    <x v="1"/>
    <s v="2024-02-11"/>
    <n v="1089"/>
    <x v="0"/>
    <x v="1"/>
    <x v="0"/>
    <n v="36"/>
    <n v="10"/>
    <x v="1"/>
    <n v="3"/>
  </r>
  <r>
    <x v="2"/>
    <s v="2024-04-25"/>
    <n v="1894"/>
    <x v="2"/>
    <x v="2"/>
    <x v="2"/>
    <n v="37"/>
    <n v="6"/>
    <x v="2"/>
    <n v="3"/>
  </r>
  <r>
    <x v="1"/>
    <s v="2024-05-06"/>
    <n v="1698"/>
    <x v="0"/>
    <x v="0"/>
    <x v="1"/>
    <n v="23"/>
    <n v="6"/>
    <x v="1"/>
    <n v="4"/>
  </r>
  <r>
    <x v="2"/>
    <s v="2024-03-10"/>
    <n v="1509"/>
    <x v="0"/>
    <x v="3"/>
    <x v="3"/>
    <n v="1"/>
    <n v="5"/>
    <x v="0"/>
    <n v="3"/>
  </r>
  <r>
    <x v="2"/>
    <s v="2024-01-04"/>
    <n v="693"/>
    <x v="2"/>
    <x v="0"/>
    <x v="3"/>
    <n v="21"/>
    <n v="2"/>
    <x v="3"/>
    <n v="0"/>
  </r>
  <r>
    <x v="1"/>
    <s v="2024-02-23"/>
    <n v="1001"/>
    <x v="2"/>
    <x v="2"/>
    <x v="1"/>
    <n v="16"/>
    <n v="5"/>
    <x v="0"/>
    <n v="3"/>
  </r>
  <r>
    <x v="1"/>
    <s v="2024-12-07"/>
    <n v="1487"/>
    <x v="2"/>
    <x v="3"/>
    <x v="1"/>
    <n v="35"/>
    <n v="7"/>
    <x v="1"/>
    <n v="2"/>
  </r>
  <r>
    <x v="1"/>
    <s v="2024-01-07"/>
    <n v="1636"/>
    <x v="2"/>
    <x v="2"/>
    <x v="0"/>
    <n v="13"/>
    <n v="7"/>
    <x v="1"/>
    <n v="5"/>
  </r>
  <r>
    <x v="1"/>
    <s v="2024-07-03"/>
    <n v="613"/>
    <x v="1"/>
    <x v="3"/>
    <x v="0"/>
    <n v="9"/>
    <n v="10"/>
    <x v="2"/>
    <n v="2"/>
  </r>
  <r>
    <x v="0"/>
    <s v="2024-01-05"/>
    <n v="1745"/>
    <x v="2"/>
    <x v="3"/>
    <x v="0"/>
    <n v="34"/>
    <n v="8"/>
    <x v="3"/>
    <n v="5"/>
  </r>
  <r>
    <x v="3"/>
    <s v="2024-03-21"/>
    <n v="1446"/>
    <x v="1"/>
    <x v="3"/>
    <x v="2"/>
    <n v="24"/>
    <n v="0"/>
    <x v="3"/>
    <n v="2"/>
  </r>
  <r>
    <x v="2"/>
    <s v="2024-01-19"/>
    <n v="1330"/>
    <x v="1"/>
    <x v="3"/>
    <x v="0"/>
    <n v="2"/>
    <n v="0"/>
    <x v="1"/>
    <n v="4"/>
  </r>
  <r>
    <x v="1"/>
    <s v="2024-09-20"/>
    <n v="1787"/>
    <x v="1"/>
    <x v="2"/>
    <x v="1"/>
    <n v="46"/>
    <n v="2"/>
    <x v="3"/>
    <n v="2"/>
  </r>
  <r>
    <x v="1"/>
    <s v="2024-07-10"/>
    <n v="1424"/>
    <x v="0"/>
    <x v="3"/>
    <x v="3"/>
    <n v="37"/>
    <n v="2"/>
    <x v="2"/>
    <n v="4"/>
  </r>
  <r>
    <x v="1"/>
    <s v="2024-07-01"/>
    <n v="554"/>
    <x v="1"/>
    <x v="3"/>
    <x v="2"/>
    <n v="16"/>
    <n v="9"/>
    <x v="0"/>
    <n v="4"/>
  </r>
  <r>
    <x v="0"/>
    <s v="2024-10-15"/>
    <n v="1299"/>
    <x v="1"/>
    <x v="0"/>
    <x v="0"/>
    <n v="11"/>
    <n v="7"/>
    <x v="3"/>
    <n v="3"/>
  </r>
  <r>
    <x v="1"/>
    <s v="2024-05-13"/>
    <n v="1277"/>
    <x v="0"/>
    <x v="1"/>
    <x v="2"/>
    <n v="23"/>
    <n v="9"/>
    <x v="1"/>
    <n v="0"/>
  </r>
  <r>
    <x v="1"/>
    <s v="2024-06-25"/>
    <n v="1981"/>
    <x v="0"/>
    <x v="1"/>
    <x v="2"/>
    <n v="28"/>
    <n v="0"/>
    <x v="0"/>
    <n v="5"/>
  </r>
  <r>
    <x v="1"/>
    <s v="2024-08-29"/>
    <n v="661"/>
    <x v="0"/>
    <x v="0"/>
    <x v="0"/>
    <n v="42"/>
    <n v="1"/>
    <x v="0"/>
    <n v="3"/>
  </r>
  <r>
    <x v="3"/>
    <s v="2024-05-28"/>
    <n v="1903"/>
    <x v="2"/>
    <x v="0"/>
    <x v="2"/>
    <n v="24"/>
    <n v="1"/>
    <x v="2"/>
    <n v="3"/>
  </r>
  <r>
    <x v="0"/>
    <s v="2024-03-05"/>
    <n v="586"/>
    <x v="0"/>
    <x v="2"/>
    <x v="3"/>
    <n v="35"/>
    <n v="2"/>
    <x v="1"/>
    <n v="4"/>
  </r>
  <r>
    <x v="1"/>
    <s v="2024-03-06"/>
    <n v="554"/>
    <x v="0"/>
    <x v="2"/>
    <x v="1"/>
    <n v="25"/>
    <n v="5"/>
    <x v="3"/>
    <n v="4"/>
  </r>
  <r>
    <x v="2"/>
    <s v="2024-05-27"/>
    <n v="1999"/>
    <x v="1"/>
    <x v="2"/>
    <x v="1"/>
    <n v="37"/>
    <n v="0"/>
    <x v="1"/>
    <n v="5"/>
  </r>
  <r>
    <x v="2"/>
    <s v="2024-01-12"/>
    <n v="1701"/>
    <x v="0"/>
    <x v="0"/>
    <x v="3"/>
    <n v="0"/>
    <n v="1"/>
    <x v="0"/>
    <n v="2"/>
  </r>
  <r>
    <x v="2"/>
    <s v="2024-01-11"/>
    <n v="1914"/>
    <x v="2"/>
    <x v="0"/>
    <x v="2"/>
    <n v="19"/>
    <n v="0"/>
    <x v="1"/>
    <n v="2"/>
  </r>
  <r>
    <x v="0"/>
    <s v="2024-09-20"/>
    <n v="1872"/>
    <x v="0"/>
    <x v="3"/>
    <x v="0"/>
    <n v="27"/>
    <n v="4"/>
    <x v="3"/>
    <n v="3"/>
  </r>
  <r>
    <x v="0"/>
    <s v="2024-08-27"/>
    <n v="1531"/>
    <x v="2"/>
    <x v="2"/>
    <x v="2"/>
    <n v="15"/>
    <n v="6"/>
    <x v="3"/>
    <n v="1"/>
  </r>
  <r>
    <x v="2"/>
    <s v="2024-06-23"/>
    <n v="1332"/>
    <x v="0"/>
    <x v="2"/>
    <x v="3"/>
    <n v="46"/>
    <n v="7"/>
    <x v="2"/>
    <n v="1"/>
  </r>
  <r>
    <x v="1"/>
    <s v="2024-07-29"/>
    <n v="812"/>
    <x v="0"/>
    <x v="2"/>
    <x v="2"/>
    <n v="16"/>
    <n v="9"/>
    <x v="3"/>
    <n v="2"/>
  </r>
  <r>
    <x v="0"/>
    <s v="2024-08-19"/>
    <n v="1258"/>
    <x v="0"/>
    <x v="1"/>
    <x v="1"/>
    <n v="39"/>
    <n v="0"/>
    <x v="3"/>
    <n v="1"/>
  </r>
  <r>
    <x v="2"/>
    <s v="2024-03-14"/>
    <n v="942"/>
    <x v="0"/>
    <x v="3"/>
    <x v="2"/>
    <n v="27"/>
    <n v="6"/>
    <x v="1"/>
    <n v="2"/>
  </r>
  <r>
    <x v="2"/>
    <s v="2024-06-29"/>
    <n v="827"/>
    <x v="2"/>
    <x v="2"/>
    <x v="3"/>
    <n v="11"/>
    <n v="4"/>
    <x v="1"/>
    <n v="4"/>
  </r>
  <r>
    <x v="1"/>
    <s v="2024-11-30"/>
    <n v="1577"/>
    <x v="2"/>
    <x v="2"/>
    <x v="1"/>
    <n v="26"/>
    <n v="9"/>
    <x v="0"/>
    <n v="3"/>
  </r>
  <r>
    <x v="3"/>
    <s v="2024-03-12"/>
    <n v="1260"/>
    <x v="1"/>
    <x v="2"/>
    <x v="2"/>
    <n v="41"/>
    <n v="0"/>
    <x v="2"/>
    <n v="0"/>
  </r>
  <r>
    <x v="0"/>
    <s v="2024-03-02"/>
    <n v="1762"/>
    <x v="2"/>
    <x v="1"/>
    <x v="2"/>
    <n v="46"/>
    <n v="2"/>
    <x v="1"/>
    <n v="3"/>
  </r>
  <r>
    <x v="1"/>
    <s v="2024-04-09"/>
    <n v="1752"/>
    <x v="0"/>
    <x v="1"/>
    <x v="1"/>
    <n v="29"/>
    <n v="6"/>
    <x v="3"/>
    <n v="2"/>
  </r>
  <r>
    <x v="2"/>
    <s v="2024-11-18"/>
    <n v="1078"/>
    <x v="1"/>
    <x v="0"/>
    <x v="0"/>
    <n v="40"/>
    <n v="9"/>
    <x v="0"/>
    <n v="2"/>
  </r>
  <r>
    <x v="2"/>
    <s v="2024-11-23"/>
    <n v="1574"/>
    <x v="1"/>
    <x v="3"/>
    <x v="1"/>
    <n v="33"/>
    <n v="0"/>
    <x v="1"/>
    <n v="3"/>
  </r>
  <r>
    <x v="1"/>
    <s v="2024-06-24"/>
    <n v="1506"/>
    <x v="1"/>
    <x v="0"/>
    <x v="0"/>
    <n v="36"/>
    <n v="6"/>
    <x v="2"/>
    <n v="5"/>
  </r>
  <r>
    <x v="0"/>
    <s v="2024-12-01"/>
    <n v="1787"/>
    <x v="0"/>
    <x v="3"/>
    <x v="3"/>
    <n v="5"/>
    <n v="4"/>
    <x v="2"/>
    <n v="2"/>
  </r>
  <r>
    <x v="3"/>
    <s v="2024-12-10"/>
    <n v="1941"/>
    <x v="2"/>
    <x v="1"/>
    <x v="3"/>
    <n v="6"/>
    <n v="0"/>
    <x v="0"/>
    <n v="1"/>
  </r>
  <r>
    <x v="3"/>
    <s v="2024-09-20"/>
    <n v="595"/>
    <x v="0"/>
    <x v="2"/>
    <x v="1"/>
    <n v="31"/>
    <n v="0"/>
    <x v="0"/>
    <n v="1"/>
  </r>
  <r>
    <x v="2"/>
    <s v="2024-11-11"/>
    <n v="1611"/>
    <x v="1"/>
    <x v="0"/>
    <x v="1"/>
    <n v="31"/>
    <n v="0"/>
    <x v="0"/>
    <n v="2"/>
  </r>
  <r>
    <x v="0"/>
    <s v="2024-08-12"/>
    <n v="1601"/>
    <x v="0"/>
    <x v="2"/>
    <x v="3"/>
    <n v="24"/>
    <n v="10"/>
    <x v="0"/>
    <n v="2"/>
  </r>
  <r>
    <x v="3"/>
    <s v="2024-07-19"/>
    <n v="1811"/>
    <x v="0"/>
    <x v="0"/>
    <x v="0"/>
    <n v="32"/>
    <n v="8"/>
    <x v="0"/>
    <n v="5"/>
  </r>
  <r>
    <x v="0"/>
    <s v="2024-07-21"/>
    <n v="1643"/>
    <x v="2"/>
    <x v="1"/>
    <x v="3"/>
    <n v="6"/>
    <n v="10"/>
    <x v="3"/>
    <n v="1"/>
  </r>
  <r>
    <x v="0"/>
    <s v="2024-11-19"/>
    <n v="1313"/>
    <x v="2"/>
    <x v="1"/>
    <x v="1"/>
    <n v="11"/>
    <n v="2"/>
    <x v="3"/>
    <n v="2"/>
  </r>
  <r>
    <x v="2"/>
    <s v="2024-02-21"/>
    <n v="990"/>
    <x v="1"/>
    <x v="1"/>
    <x v="3"/>
    <n v="15"/>
    <n v="4"/>
    <x v="1"/>
    <n v="2"/>
  </r>
  <r>
    <x v="3"/>
    <s v="2024-08-25"/>
    <n v="951"/>
    <x v="0"/>
    <x v="0"/>
    <x v="1"/>
    <n v="15"/>
    <n v="10"/>
    <x v="2"/>
    <n v="5"/>
  </r>
  <r>
    <x v="1"/>
    <s v="2024-10-28"/>
    <n v="664"/>
    <x v="0"/>
    <x v="3"/>
    <x v="1"/>
    <n v="42"/>
    <n v="9"/>
    <x v="3"/>
    <n v="5"/>
  </r>
  <r>
    <x v="2"/>
    <s v="2024-02-12"/>
    <n v="681"/>
    <x v="2"/>
    <x v="0"/>
    <x v="3"/>
    <n v="35"/>
    <n v="8"/>
    <x v="3"/>
    <n v="3"/>
  </r>
  <r>
    <x v="3"/>
    <s v="2024-09-01"/>
    <n v="968"/>
    <x v="0"/>
    <x v="3"/>
    <x v="0"/>
    <n v="12"/>
    <n v="5"/>
    <x v="3"/>
    <n v="5"/>
  </r>
  <r>
    <x v="3"/>
    <s v="2024-01-13"/>
    <n v="1409"/>
    <x v="0"/>
    <x v="0"/>
    <x v="2"/>
    <n v="6"/>
    <n v="8"/>
    <x v="1"/>
    <n v="0"/>
  </r>
  <r>
    <x v="3"/>
    <s v="2024-08-10"/>
    <n v="1234"/>
    <x v="0"/>
    <x v="0"/>
    <x v="3"/>
    <n v="35"/>
    <n v="7"/>
    <x v="0"/>
    <n v="1"/>
  </r>
  <r>
    <x v="3"/>
    <s v="2024-04-26"/>
    <n v="1322"/>
    <x v="2"/>
    <x v="1"/>
    <x v="2"/>
    <n v="46"/>
    <n v="7"/>
    <x v="1"/>
    <n v="3"/>
  </r>
  <r>
    <x v="3"/>
    <s v="2024-07-29"/>
    <n v="1443"/>
    <x v="1"/>
    <x v="2"/>
    <x v="3"/>
    <n v="50"/>
    <n v="0"/>
    <x v="2"/>
    <n v="0"/>
  </r>
  <r>
    <x v="0"/>
    <s v="2024-11-18"/>
    <n v="506"/>
    <x v="1"/>
    <x v="2"/>
    <x v="2"/>
    <n v="8"/>
    <n v="8"/>
    <x v="2"/>
    <n v="2"/>
  </r>
  <r>
    <x v="2"/>
    <s v="2024-12-17"/>
    <n v="829"/>
    <x v="0"/>
    <x v="3"/>
    <x v="0"/>
    <n v="31"/>
    <n v="5"/>
    <x v="2"/>
    <n v="2"/>
  </r>
  <r>
    <x v="0"/>
    <s v="2024-11-27"/>
    <n v="1274"/>
    <x v="1"/>
    <x v="2"/>
    <x v="0"/>
    <n v="10"/>
    <n v="8"/>
    <x v="2"/>
    <n v="3"/>
  </r>
  <r>
    <x v="1"/>
    <s v="2024-02-20"/>
    <n v="650"/>
    <x v="2"/>
    <x v="0"/>
    <x v="3"/>
    <n v="7"/>
    <n v="2"/>
    <x v="3"/>
    <n v="5"/>
  </r>
  <r>
    <x v="3"/>
    <s v="2024-10-20"/>
    <n v="1608"/>
    <x v="2"/>
    <x v="0"/>
    <x v="1"/>
    <n v="32"/>
    <n v="2"/>
    <x v="3"/>
    <n v="2"/>
  </r>
  <r>
    <x v="2"/>
    <s v="2024-02-28"/>
    <n v="646"/>
    <x v="1"/>
    <x v="1"/>
    <x v="2"/>
    <n v="22"/>
    <n v="5"/>
    <x v="1"/>
    <n v="4"/>
  </r>
  <r>
    <x v="3"/>
    <s v="2024-07-07"/>
    <n v="1904"/>
    <x v="1"/>
    <x v="1"/>
    <x v="1"/>
    <n v="24"/>
    <n v="8"/>
    <x v="0"/>
    <n v="3"/>
  </r>
  <r>
    <x v="2"/>
    <s v="2024-05-08"/>
    <n v="1414"/>
    <x v="0"/>
    <x v="2"/>
    <x v="1"/>
    <n v="7"/>
    <n v="6"/>
    <x v="2"/>
    <n v="0"/>
  </r>
  <r>
    <x v="0"/>
    <s v="2024-02-05"/>
    <n v="1808"/>
    <x v="1"/>
    <x v="3"/>
    <x v="1"/>
    <n v="44"/>
    <n v="2"/>
    <x v="1"/>
    <n v="3"/>
  </r>
  <r>
    <x v="2"/>
    <s v="2024-07-12"/>
    <n v="1199"/>
    <x v="0"/>
    <x v="2"/>
    <x v="0"/>
    <n v="21"/>
    <n v="2"/>
    <x v="3"/>
    <n v="1"/>
  </r>
  <r>
    <x v="1"/>
    <s v="2024-01-08"/>
    <n v="581"/>
    <x v="0"/>
    <x v="2"/>
    <x v="3"/>
    <n v="3"/>
    <n v="1"/>
    <x v="3"/>
    <n v="5"/>
  </r>
  <r>
    <x v="1"/>
    <s v="2024-11-25"/>
    <n v="1013"/>
    <x v="2"/>
    <x v="2"/>
    <x v="3"/>
    <n v="39"/>
    <n v="8"/>
    <x v="0"/>
    <n v="5"/>
  </r>
  <r>
    <x v="2"/>
    <s v="2024-01-26"/>
    <n v="1314"/>
    <x v="2"/>
    <x v="2"/>
    <x v="0"/>
    <n v="2"/>
    <n v="2"/>
    <x v="0"/>
    <n v="3"/>
  </r>
  <r>
    <x v="2"/>
    <s v="2024-07-18"/>
    <n v="1208"/>
    <x v="2"/>
    <x v="0"/>
    <x v="0"/>
    <n v="28"/>
    <n v="10"/>
    <x v="0"/>
    <n v="2"/>
  </r>
  <r>
    <x v="2"/>
    <s v="2024-03-31"/>
    <n v="1245"/>
    <x v="2"/>
    <x v="3"/>
    <x v="3"/>
    <n v="40"/>
    <n v="4"/>
    <x v="1"/>
    <n v="2"/>
  </r>
  <r>
    <x v="2"/>
    <s v="2024-01-17"/>
    <n v="1522"/>
    <x v="1"/>
    <x v="0"/>
    <x v="1"/>
    <n v="28"/>
    <n v="8"/>
    <x v="3"/>
    <n v="4"/>
  </r>
  <r>
    <x v="1"/>
    <s v="2024-03-04"/>
    <n v="1909"/>
    <x v="2"/>
    <x v="3"/>
    <x v="2"/>
    <n v="33"/>
    <n v="7"/>
    <x v="3"/>
    <n v="4"/>
  </r>
  <r>
    <x v="3"/>
    <s v="2024-09-03"/>
    <n v="1206"/>
    <x v="1"/>
    <x v="1"/>
    <x v="2"/>
    <n v="33"/>
    <n v="1"/>
    <x v="0"/>
    <n v="5"/>
  </r>
  <r>
    <x v="2"/>
    <s v="2024-08-26"/>
    <n v="970"/>
    <x v="2"/>
    <x v="2"/>
    <x v="2"/>
    <n v="27"/>
    <n v="2"/>
    <x v="2"/>
    <n v="4"/>
  </r>
  <r>
    <x v="2"/>
    <s v="2024-12-07"/>
    <n v="1642"/>
    <x v="1"/>
    <x v="0"/>
    <x v="1"/>
    <n v="12"/>
    <n v="1"/>
    <x v="0"/>
    <n v="0"/>
  </r>
  <r>
    <x v="1"/>
    <s v="2024-04-30"/>
    <n v="895"/>
    <x v="0"/>
    <x v="3"/>
    <x v="3"/>
    <n v="14"/>
    <n v="7"/>
    <x v="1"/>
    <n v="4"/>
  </r>
  <r>
    <x v="1"/>
    <s v="2024-02-18"/>
    <n v="760"/>
    <x v="1"/>
    <x v="1"/>
    <x v="0"/>
    <n v="22"/>
    <n v="5"/>
    <x v="0"/>
    <n v="0"/>
  </r>
  <r>
    <x v="0"/>
    <s v="2024-02-24"/>
    <n v="1304"/>
    <x v="1"/>
    <x v="1"/>
    <x v="3"/>
    <n v="43"/>
    <n v="5"/>
    <x v="0"/>
    <n v="4"/>
  </r>
  <r>
    <x v="2"/>
    <s v="2024-12-14"/>
    <n v="1433"/>
    <x v="2"/>
    <x v="2"/>
    <x v="1"/>
    <n v="25"/>
    <n v="8"/>
    <x v="1"/>
    <n v="5"/>
  </r>
  <r>
    <x v="0"/>
    <s v="2024-09-23"/>
    <n v="1779"/>
    <x v="1"/>
    <x v="3"/>
    <x v="0"/>
    <n v="3"/>
    <n v="7"/>
    <x v="0"/>
    <n v="5"/>
  </r>
  <r>
    <x v="1"/>
    <s v="2024-06-06"/>
    <n v="1404"/>
    <x v="0"/>
    <x v="0"/>
    <x v="1"/>
    <n v="25"/>
    <n v="3"/>
    <x v="3"/>
    <n v="0"/>
  </r>
  <r>
    <x v="1"/>
    <s v="2024-08-25"/>
    <n v="1749"/>
    <x v="0"/>
    <x v="2"/>
    <x v="2"/>
    <n v="39"/>
    <n v="3"/>
    <x v="2"/>
    <n v="3"/>
  </r>
  <r>
    <x v="3"/>
    <s v="2024-06-10"/>
    <n v="1576"/>
    <x v="2"/>
    <x v="0"/>
    <x v="2"/>
    <n v="8"/>
    <n v="8"/>
    <x v="0"/>
    <n v="5"/>
  </r>
  <r>
    <x v="2"/>
    <s v="2024-11-04"/>
    <n v="1439"/>
    <x v="0"/>
    <x v="1"/>
    <x v="1"/>
    <n v="4"/>
    <n v="0"/>
    <x v="1"/>
    <n v="3"/>
  </r>
  <r>
    <x v="0"/>
    <s v="2024-01-28"/>
    <n v="1353"/>
    <x v="1"/>
    <x v="0"/>
    <x v="0"/>
    <n v="31"/>
    <n v="1"/>
    <x v="2"/>
    <n v="2"/>
  </r>
  <r>
    <x v="1"/>
    <s v="2024-10-31"/>
    <n v="1887"/>
    <x v="0"/>
    <x v="0"/>
    <x v="0"/>
    <n v="19"/>
    <n v="1"/>
    <x v="1"/>
    <n v="0"/>
  </r>
  <r>
    <x v="1"/>
    <s v="2024-04-23"/>
    <n v="1803"/>
    <x v="2"/>
    <x v="2"/>
    <x v="3"/>
    <n v="49"/>
    <n v="5"/>
    <x v="2"/>
    <n v="5"/>
  </r>
  <r>
    <x v="0"/>
    <s v="2024-02-20"/>
    <n v="1092"/>
    <x v="1"/>
    <x v="0"/>
    <x v="2"/>
    <n v="10"/>
    <n v="3"/>
    <x v="2"/>
    <n v="1"/>
  </r>
  <r>
    <x v="3"/>
    <s v="2024-09-05"/>
    <n v="1213"/>
    <x v="2"/>
    <x v="2"/>
    <x v="3"/>
    <n v="14"/>
    <n v="10"/>
    <x v="0"/>
    <n v="2"/>
  </r>
  <r>
    <x v="1"/>
    <s v="2024-08-14"/>
    <n v="1681"/>
    <x v="1"/>
    <x v="1"/>
    <x v="3"/>
    <n v="31"/>
    <n v="9"/>
    <x v="3"/>
    <n v="3"/>
  </r>
  <r>
    <x v="2"/>
    <s v="2024-06-09"/>
    <n v="1131"/>
    <x v="0"/>
    <x v="2"/>
    <x v="1"/>
    <n v="27"/>
    <n v="2"/>
    <x v="0"/>
    <n v="5"/>
  </r>
  <r>
    <x v="1"/>
    <s v="2024-12-31"/>
    <n v="558"/>
    <x v="2"/>
    <x v="2"/>
    <x v="1"/>
    <n v="21"/>
    <n v="2"/>
    <x v="1"/>
    <n v="0"/>
  </r>
  <r>
    <x v="2"/>
    <s v="2024-04-22"/>
    <n v="627"/>
    <x v="2"/>
    <x v="3"/>
    <x v="3"/>
    <n v="40"/>
    <n v="2"/>
    <x v="1"/>
    <n v="4"/>
  </r>
  <r>
    <x v="0"/>
    <s v="2024-08-15"/>
    <n v="1235"/>
    <x v="1"/>
    <x v="0"/>
    <x v="2"/>
    <n v="16"/>
    <n v="5"/>
    <x v="2"/>
    <n v="1"/>
  </r>
  <r>
    <x v="2"/>
    <s v="2024-12-15"/>
    <n v="1220"/>
    <x v="2"/>
    <x v="1"/>
    <x v="1"/>
    <n v="25"/>
    <n v="7"/>
    <x v="2"/>
    <n v="3"/>
  </r>
  <r>
    <x v="0"/>
    <s v="2024-07-08"/>
    <n v="1638"/>
    <x v="1"/>
    <x v="2"/>
    <x v="3"/>
    <n v="43"/>
    <n v="10"/>
    <x v="3"/>
    <n v="2"/>
  </r>
  <r>
    <x v="2"/>
    <s v="2024-12-17"/>
    <n v="1732"/>
    <x v="1"/>
    <x v="1"/>
    <x v="3"/>
    <n v="6"/>
    <n v="6"/>
    <x v="0"/>
    <n v="0"/>
  </r>
  <r>
    <x v="0"/>
    <s v="2024-09-17"/>
    <n v="1025"/>
    <x v="1"/>
    <x v="3"/>
    <x v="3"/>
    <n v="41"/>
    <n v="3"/>
    <x v="1"/>
    <n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ABB3EF2-C280-4E57-8F91-077DBBDD16D8}" name="PivotTable8"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4:A35" firstHeaderRow="1" firstDataRow="1" firstDataCol="0"/>
  <pivotFields count="10">
    <pivotField showAll="0"/>
    <pivotField showAll="0"/>
    <pivotField showAll="0"/>
    <pivotField showAll="0">
      <items count="4">
        <item x="0"/>
        <item x="1"/>
        <item x="2"/>
        <item t="default"/>
      </items>
    </pivotField>
    <pivotField showAll="0">
      <items count="5">
        <item x="2"/>
        <item x="0"/>
        <item x="1"/>
        <item x="3"/>
        <item t="default"/>
      </items>
    </pivotField>
    <pivotField showAll="0">
      <items count="5">
        <item x="2"/>
        <item x="1"/>
        <item x="0"/>
        <item x="3"/>
        <item t="default"/>
      </items>
    </pivotField>
    <pivotField showAll="0"/>
    <pivotField showAll="0"/>
    <pivotField showAll="0">
      <items count="5">
        <item x="0"/>
        <item x="1"/>
        <item x="3"/>
        <item x="2"/>
        <item t="default"/>
      </items>
    </pivotField>
    <pivotField dataField="1" showAll="0"/>
  </pivotFields>
  <rowItems count="1">
    <i/>
  </rowItems>
  <colItems count="1">
    <i/>
  </colItems>
  <dataFields count="1">
    <dataField name="Sum of Delivery Delay Days" fld="9" baseField="0" baseItem="0"/>
  </dataFields>
  <formats count="12">
    <format dxfId="2937">
      <pivotArea type="all" dataOnly="0" outline="0" fieldPosition="0"/>
    </format>
    <format dxfId="2936">
      <pivotArea outline="0" collapsedLevelsAreSubtotals="1" fieldPosition="0"/>
    </format>
    <format dxfId="2935">
      <pivotArea dataOnly="0" labelOnly="1" outline="0" axis="axisValues" fieldPosition="0"/>
    </format>
    <format dxfId="2934">
      <pivotArea type="all" dataOnly="0" outline="0" fieldPosition="0"/>
    </format>
    <format dxfId="2933">
      <pivotArea outline="0" collapsedLevelsAreSubtotals="1" fieldPosition="0"/>
    </format>
    <format dxfId="2932">
      <pivotArea dataOnly="0" labelOnly="1" outline="0" axis="axisValues" fieldPosition="0"/>
    </format>
    <format dxfId="2931">
      <pivotArea type="all" dataOnly="0" outline="0" fieldPosition="0"/>
    </format>
    <format dxfId="2930">
      <pivotArea outline="0" collapsedLevelsAreSubtotals="1" fieldPosition="0"/>
    </format>
    <format dxfId="2929">
      <pivotArea dataOnly="0" labelOnly="1" outline="0" axis="axisValues" fieldPosition="0"/>
    </format>
    <format dxfId="2928">
      <pivotArea type="all" dataOnly="0" outline="0" fieldPosition="0"/>
    </format>
    <format dxfId="2927">
      <pivotArea outline="0" collapsedLevelsAreSubtotals="1" fieldPosition="0"/>
    </format>
    <format dxfId="292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72778FB-1728-4FB6-9581-D62DC6605E52}"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E9" firstHeaderRow="1" firstDataRow="2" firstDataCol="1"/>
  <pivotFields count="10">
    <pivotField axis="axisRow" showAll="0">
      <items count="5">
        <item x="0"/>
        <item x="1"/>
        <item x="3"/>
        <item x="2"/>
        <item t="default"/>
      </items>
    </pivotField>
    <pivotField showAll="0"/>
    <pivotField dataField="1" showAll="0"/>
    <pivotField axis="axisCol" showAll="0">
      <items count="4">
        <item x="0"/>
        <item x="1"/>
        <item x="2"/>
        <item t="default"/>
      </items>
    </pivotField>
    <pivotField showAll="0">
      <items count="5">
        <item x="2"/>
        <item x="0"/>
        <item x="1"/>
        <item x="3"/>
        <item t="default"/>
      </items>
    </pivotField>
    <pivotField showAll="0">
      <items count="5">
        <item x="2"/>
        <item x="1"/>
        <item x="0"/>
        <item x="3"/>
        <item t="default"/>
      </items>
    </pivotField>
    <pivotField showAll="0"/>
    <pivotField showAll="0"/>
    <pivotField showAll="0">
      <items count="5">
        <item x="0"/>
        <item x="1"/>
        <item x="3"/>
        <item x="2"/>
        <item t="default"/>
      </items>
    </pivotField>
    <pivotField showAll="0"/>
  </pivotFields>
  <rowFields count="1">
    <field x="0"/>
  </rowFields>
  <rowItems count="5">
    <i>
      <x/>
    </i>
    <i>
      <x v="1"/>
    </i>
    <i>
      <x v="2"/>
    </i>
    <i>
      <x v="3"/>
    </i>
    <i t="grand">
      <x/>
    </i>
  </rowItems>
  <colFields count="1">
    <field x="3"/>
  </colFields>
  <colItems count="4">
    <i>
      <x/>
    </i>
    <i>
      <x v="1"/>
    </i>
    <i>
      <x v="2"/>
    </i>
    <i t="grand">
      <x/>
    </i>
  </colItems>
  <dataFields count="1">
    <dataField name="Sum of Quantity Produced" fld="2" baseField="0" baseItem="0"/>
  </dataFields>
  <formats count="75">
    <format dxfId="3012">
      <pivotArea type="all" dataOnly="0" outline="0" fieldPosition="0"/>
    </format>
    <format dxfId="3011">
      <pivotArea outline="0" collapsedLevelsAreSubtotals="1" fieldPosition="0"/>
    </format>
    <format dxfId="3010">
      <pivotArea type="origin" dataOnly="0" labelOnly="1" outline="0" fieldPosition="0"/>
    </format>
    <format dxfId="3009">
      <pivotArea field="3" type="button" dataOnly="0" labelOnly="1" outline="0" axis="axisCol" fieldPosition="0"/>
    </format>
    <format dxfId="3008">
      <pivotArea type="topRight" dataOnly="0" labelOnly="1" outline="0" fieldPosition="0"/>
    </format>
    <format dxfId="3007">
      <pivotArea field="0" type="button" dataOnly="0" labelOnly="1" outline="0" axis="axisRow" fieldPosition="0"/>
    </format>
    <format dxfId="3006">
      <pivotArea dataOnly="0" labelOnly="1" fieldPosition="0">
        <references count="1">
          <reference field="0" count="0"/>
        </references>
      </pivotArea>
    </format>
    <format dxfId="3005">
      <pivotArea dataOnly="0" labelOnly="1" grandRow="1" outline="0" fieldPosition="0"/>
    </format>
    <format dxfId="3004">
      <pivotArea dataOnly="0" labelOnly="1" fieldPosition="0">
        <references count="1">
          <reference field="3" count="0"/>
        </references>
      </pivotArea>
    </format>
    <format dxfId="3003">
      <pivotArea dataOnly="0" labelOnly="1" grandCol="1" outline="0" fieldPosition="0"/>
    </format>
    <format dxfId="3002">
      <pivotArea field="0" type="button" dataOnly="0" labelOnly="1" outline="0" axis="axisRow" fieldPosition="0"/>
    </format>
    <format dxfId="3001">
      <pivotArea dataOnly="0" labelOnly="1" fieldPosition="0">
        <references count="1">
          <reference field="3" count="0"/>
        </references>
      </pivotArea>
    </format>
    <format dxfId="3000">
      <pivotArea dataOnly="0" labelOnly="1" grandCol="1" outline="0" fieldPosition="0"/>
    </format>
    <format dxfId="2999">
      <pivotArea type="all" dataOnly="0" outline="0" fieldPosition="0"/>
    </format>
    <format dxfId="2998">
      <pivotArea grandCol="1" outline="0" collapsedLevelsAreSubtotals="1" fieldPosition="0"/>
    </format>
    <format dxfId="2997">
      <pivotArea type="all" dataOnly="0" outline="0" fieldPosition="0"/>
    </format>
    <format dxfId="2996">
      <pivotArea outline="0" collapsedLevelsAreSubtotals="1" fieldPosition="0"/>
    </format>
    <format dxfId="2995">
      <pivotArea type="origin" dataOnly="0" labelOnly="1" outline="0" fieldPosition="0"/>
    </format>
    <format dxfId="2994">
      <pivotArea field="3" type="button" dataOnly="0" labelOnly="1" outline="0" axis="axisCol" fieldPosition="0"/>
    </format>
    <format dxfId="2993">
      <pivotArea type="topRight" dataOnly="0" labelOnly="1" outline="0" fieldPosition="0"/>
    </format>
    <format dxfId="2992">
      <pivotArea field="0" type="button" dataOnly="0" labelOnly="1" outline="0" axis="axisRow" fieldPosition="0"/>
    </format>
    <format dxfId="2991">
      <pivotArea dataOnly="0" labelOnly="1" fieldPosition="0">
        <references count="1">
          <reference field="0" count="0"/>
        </references>
      </pivotArea>
    </format>
    <format dxfId="2990">
      <pivotArea dataOnly="0" labelOnly="1" grandRow="1" outline="0" fieldPosition="0"/>
    </format>
    <format dxfId="2989">
      <pivotArea dataOnly="0" labelOnly="1" fieldPosition="0">
        <references count="1">
          <reference field="3" count="0"/>
        </references>
      </pivotArea>
    </format>
    <format dxfId="2988">
      <pivotArea dataOnly="0" labelOnly="1" grandCol="1" outline="0" fieldPosition="0"/>
    </format>
    <format dxfId="2987">
      <pivotArea type="all" dataOnly="0" outline="0" fieldPosition="0"/>
    </format>
    <format dxfId="2986">
      <pivotArea outline="0" collapsedLevelsAreSubtotals="1" fieldPosition="0"/>
    </format>
    <format dxfId="2985">
      <pivotArea type="origin" dataOnly="0" labelOnly="1" outline="0" fieldPosition="0"/>
    </format>
    <format dxfId="2984">
      <pivotArea field="3" type="button" dataOnly="0" labelOnly="1" outline="0" axis="axisCol" fieldPosition="0"/>
    </format>
    <format dxfId="2983">
      <pivotArea type="topRight" dataOnly="0" labelOnly="1" outline="0" fieldPosition="0"/>
    </format>
    <format dxfId="2982">
      <pivotArea field="0" type="button" dataOnly="0" labelOnly="1" outline="0" axis="axisRow" fieldPosition="0"/>
    </format>
    <format dxfId="2981">
      <pivotArea dataOnly="0" labelOnly="1" fieldPosition="0">
        <references count="1">
          <reference field="0" count="0"/>
        </references>
      </pivotArea>
    </format>
    <format dxfId="2980">
      <pivotArea dataOnly="0" labelOnly="1" grandRow="1" outline="0" fieldPosition="0"/>
    </format>
    <format dxfId="2979">
      <pivotArea dataOnly="0" labelOnly="1" fieldPosition="0">
        <references count="1">
          <reference field="3" count="0"/>
        </references>
      </pivotArea>
    </format>
    <format dxfId="2978">
      <pivotArea dataOnly="0" labelOnly="1" grandCol="1" outline="0" fieldPosition="0"/>
    </format>
    <format dxfId="2977">
      <pivotArea type="all" dataOnly="0" outline="0" fieldPosition="0"/>
    </format>
    <format dxfId="2976">
      <pivotArea outline="0" collapsedLevelsAreSubtotals="1" fieldPosition="0"/>
    </format>
    <format dxfId="2975">
      <pivotArea type="origin" dataOnly="0" labelOnly="1" outline="0" fieldPosition="0"/>
    </format>
    <format dxfId="2974">
      <pivotArea field="3" type="button" dataOnly="0" labelOnly="1" outline="0" axis="axisCol" fieldPosition="0"/>
    </format>
    <format dxfId="2973">
      <pivotArea type="topRight" dataOnly="0" labelOnly="1" outline="0" fieldPosition="0"/>
    </format>
    <format dxfId="2972">
      <pivotArea field="0" type="button" dataOnly="0" labelOnly="1" outline="0" axis="axisRow" fieldPosition="0"/>
    </format>
    <format dxfId="2971">
      <pivotArea dataOnly="0" labelOnly="1" fieldPosition="0">
        <references count="1">
          <reference field="0" count="0"/>
        </references>
      </pivotArea>
    </format>
    <format dxfId="2970">
      <pivotArea dataOnly="0" labelOnly="1" grandRow="1" outline="0" fieldPosition="0"/>
    </format>
    <format dxfId="2969">
      <pivotArea dataOnly="0" labelOnly="1" fieldPosition="0">
        <references count="1">
          <reference field="3" count="0"/>
        </references>
      </pivotArea>
    </format>
    <format dxfId="2968">
      <pivotArea dataOnly="0" labelOnly="1" grandCol="1" outline="0" fieldPosition="0"/>
    </format>
    <format dxfId="2967">
      <pivotArea type="all" dataOnly="0" outline="0" fieldPosition="0"/>
    </format>
    <format dxfId="2966">
      <pivotArea outline="0" collapsedLevelsAreSubtotals="1" fieldPosition="0"/>
    </format>
    <format dxfId="2965">
      <pivotArea type="origin" dataOnly="0" labelOnly="1" outline="0" fieldPosition="0"/>
    </format>
    <format dxfId="2964">
      <pivotArea field="3" type="button" dataOnly="0" labelOnly="1" outline="0" axis="axisCol" fieldPosition="0"/>
    </format>
    <format dxfId="2963">
      <pivotArea type="topRight" dataOnly="0" labelOnly="1" outline="0" fieldPosition="0"/>
    </format>
    <format dxfId="2962">
      <pivotArea field="0" type="button" dataOnly="0" labelOnly="1" outline="0" axis="axisRow" fieldPosition="0"/>
    </format>
    <format dxfId="2961">
      <pivotArea dataOnly="0" labelOnly="1" fieldPosition="0">
        <references count="1">
          <reference field="0" count="0"/>
        </references>
      </pivotArea>
    </format>
    <format dxfId="2960">
      <pivotArea dataOnly="0" labelOnly="1" grandRow="1" outline="0" fieldPosition="0"/>
    </format>
    <format dxfId="2959">
      <pivotArea dataOnly="0" labelOnly="1" fieldPosition="0">
        <references count="1">
          <reference field="3" count="0"/>
        </references>
      </pivotArea>
    </format>
    <format dxfId="2958">
      <pivotArea dataOnly="0" labelOnly="1" grandCol="1" outline="0" fieldPosition="0"/>
    </format>
    <format dxfId="2957">
      <pivotArea type="all" dataOnly="0" outline="0" fieldPosition="0"/>
    </format>
    <format dxfId="2956">
      <pivotArea outline="0" collapsedLevelsAreSubtotals="1" fieldPosition="0"/>
    </format>
    <format dxfId="2955">
      <pivotArea type="origin" dataOnly="0" labelOnly="1" outline="0" fieldPosition="0"/>
    </format>
    <format dxfId="2954">
      <pivotArea field="3" type="button" dataOnly="0" labelOnly="1" outline="0" axis="axisCol" fieldPosition="0"/>
    </format>
    <format dxfId="2953">
      <pivotArea type="topRight" dataOnly="0" labelOnly="1" outline="0" fieldPosition="0"/>
    </format>
    <format dxfId="2952">
      <pivotArea field="0" type="button" dataOnly="0" labelOnly="1" outline="0" axis="axisRow" fieldPosition="0"/>
    </format>
    <format dxfId="2951">
      <pivotArea dataOnly="0" labelOnly="1" fieldPosition="0">
        <references count="1">
          <reference field="0" count="0"/>
        </references>
      </pivotArea>
    </format>
    <format dxfId="2950">
      <pivotArea dataOnly="0" labelOnly="1" grandRow="1" outline="0" fieldPosition="0"/>
    </format>
    <format dxfId="2949">
      <pivotArea dataOnly="0" labelOnly="1" fieldPosition="0">
        <references count="1">
          <reference field="3" count="0"/>
        </references>
      </pivotArea>
    </format>
    <format dxfId="2948">
      <pivotArea dataOnly="0" labelOnly="1" grandCol="1" outline="0" fieldPosition="0"/>
    </format>
    <format dxfId="2947">
      <pivotArea type="all" dataOnly="0" outline="0" fieldPosition="0"/>
    </format>
    <format dxfId="2946">
      <pivotArea outline="0" collapsedLevelsAreSubtotals="1" fieldPosition="0"/>
    </format>
    <format dxfId="2945">
      <pivotArea type="origin" dataOnly="0" labelOnly="1" outline="0" fieldPosition="0"/>
    </format>
    <format dxfId="2944">
      <pivotArea field="3" type="button" dataOnly="0" labelOnly="1" outline="0" axis="axisCol" fieldPosition="0"/>
    </format>
    <format dxfId="2943">
      <pivotArea type="topRight" dataOnly="0" labelOnly="1" outline="0" fieldPosition="0"/>
    </format>
    <format dxfId="2942">
      <pivotArea field="0" type="button" dataOnly="0" labelOnly="1" outline="0" axis="axisRow" fieldPosition="0"/>
    </format>
    <format dxfId="2941">
      <pivotArea dataOnly="0" labelOnly="1" fieldPosition="0">
        <references count="1">
          <reference field="0" count="0"/>
        </references>
      </pivotArea>
    </format>
    <format dxfId="2940">
      <pivotArea dataOnly="0" labelOnly="1" grandRow="1" outline="0" fieldPosition="0"/>
    </format>
    <format dxfId="2939">
      <pivotArea dataOnly="0" labelOnly="1" fieldPosition="0">
        <references count="1">
          <reference field="3" count="0"/>
        </references>
      </pivotArea>
    </format>
    <format dxfId="2938">
      <pivotArea dataOnly="0" labelOnly="1" grandCol="1" outline="0" fieldPosition="0"/>
    </format>
  </formats>
  <chartFormats count="12">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0" format="2" series="1">
      <pivotArea type="data" outline="0" fieldPosition="0">
        <references count="2">
          <reference field="4294967294" count="1" selected="0">
            <x v="0"/>
          </reference>
          <reference field="3" count="1" selected="0">
            <x v="2"/>
          </reference>
        </references>
      </pivotArea>
    </chartFormat>
    <chartFormat chart="1" format="0" series="1">
      <pivotArea type="data" outline="0" fieldPosition="0">
        <references count="2">
          <reference field="4294967294" count="1" selected="0">
            <x v="0"/>
          </reference>
          <reference field="3" count="1" selected="0">
            <x v="0"/>
          </reference>
        </references>
      </pivotArea>
    </chartFormat>
    <chartFormat chart="1" format="1" series="1">
      <pivotArea type="data" outline="0" fieldPosition="0">
        <references count="2">
          <reference field="4294967294" count="1" selected="0">
            <x v="0"/>
          </reference>
          <reference field="3" count="1" selected="0">
            <x v="1"/>
          </reference>
        </references>
      </pivotArea>
    </chartFormat>
    <chartFormat chart="1" format="2" series="1">
      <pivotArea type="data" outline="0" fieldPosition="0">
        <references count="2">
          <reference field="4294967294" count="1" selected="0">
            <x v="0"/>
          </reference>
          <reference field="3" count="1" selected="0">
            <x v="2"/>
          </reference>
        </references>
      </pivotArea>
    </chartFormat>
    <chartFormat chart="3" format="6" series="1">
      <pivotArea type="data" outline="0" fieldPosition="0">
        <references count="2">
          <reference field="4294967294" count="1" selected="0">
            <x v="0"/>
          </reference>
          <reference field="3" count="1" selected="0">
            <x v="0"/>
          </reference>
        </references>
      </pivotArea>
    </chartFormat>
    <chartFormat chart="3" format="7" series="1">
      <pivotArea type="data" outline="0" fieldPosition="0">
        <references count="2">
          <reference field="4294967294" count="1" selected="0">
            <x v="0"/>
          </reference>
          <reference field="3" count="1" selected="0">
            <x v="1"/>
          </reference>
        </references>
      </pivotArea>
    </chartFormat>
    <chartFormat chart="3" format="8" series="1">
      <pivotArea type="data" outline="0" fieldPosition="0">
        <references count="2">
          <reference field="4294967294" count="1" selected="0">
            <x v="0"/>
          </reference>
          <reference field="3" count="1" selected="0">
            <x v="2"/>
          </reference>
        </references>
      </pivotArea>
    </chartFormat>
    <chartFormat chart="5" format="0" series="1">
      <pivotArea type="data" outline="0" fieldPosition="0">
        <references count="2">
          <reference field="4294967294" count="1" selected="0">
            <x v="0"/>
          </reference>
          <reference field="3" count="1" selected="0">
            <x v="0"/>
          </reference>
        </references>
      </pivotArea>
    </chartFormat>
    <chartFormat chart="5" format="1" series="1">
      <pivotArea type="data" outline="0" fieldPosition="0">
        <references count="2">
          <reference field="4294967294" count="1" selected="0">
            <x v="0"/>
          </reference>
          <reference field="3" count="1" selected="0">
            <x v="1"/>
          </reference>
        </references>
      </pivotArea>
    </chartFormat>
    <chartFormat chart="5" format="2" series="1">
      <pivotArea type="data" outline="0" fieldPosition="0">
        <references count="2">
          <reference field="4294967294" count="1" selected="0">
            <x v="0"/>
          </reference>
          <reference field="3" count="1" selected="0">
            <x v="2"/>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ABE2C21-9DC2-46A2-B63E-23AA81ACA28F}" name="PivotTable1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40:A41" firstHeaderRow="1" firstDataRow="1" firstDataCol="0"/>
  <pivotFields count="10">
    <pivotField showAll="0"/>
    <pivotField showAll="0"/>
    <pivotField dataField="1" showAll="0"/>
    <pivotField showAll="0"/>
    <pivotField showAll="0"/>
    <pivotField showAll="0"/>
    <pivotField showAll="0"/>
    <pivotField showAll="0"/>
    <pivotField showAll="0"/>
    <pivotField showAll="0"/>
  </pivotFields>
  <rowItems count="1">
    <i/>
  </rowItems>
  <colItems count="1">
    <i/>
  </colItems>
  <dataFields count="1">
    <dataField name="Average of Quantity Produced" fld="2" subtotal="average" baseField="0" baseItem="0"/>
  </dataFields>
  <formats count="12">
    <format dxfId="3024">
      <pivotArea type="all" dataOnly="0" outline="0" fieldPosition="0"/>
    </format>
    <format dxfId="3023">
      <pivotArea outline="0" collapsedLevelsAreSubtotals="1" fieldPosition="0"/>
    </format>
    <format dxfId="3022">
      <pivotArea dataOnly="0" labelOnly="1" outline="0" axis="axisValues" fieldPosition="0"/>
    </format>
    <format dxfId="3021">
      <pivotArea type="all" dataOnly="0" outline="0" fieldPosition="0"/>
    </format>
    <format dxfId="3020">
      <pivotArea outline="0" collapsedLevelsAreSubtotals="1" fieldPosition="0"/>
    </format>
    <format dxfId="3019">
      <pivotArea dataOnly="0" labelOnly="1" outline="0" axis="axisValues" fieldPosition="0"/>
    </format>
    <format dxfId="3018">
      <pivotArea type="all" dataOnly="0" outline="0" fieldPosition="0"/>
    </format>
    <format dxfId="3017">
      <pivotArea outline="0" collapsedLevelsAreSubtotals="1" fieldPosition="0"/>
    </format>
    <format dxfId="3016">
      <pivotArea dataOnly="0" labelOnly="1" outline="0" axis="axisValues" fieldPosition="0"/>
    </format>
    <format dxfId="3015">
      <pivotArea type="all" dataOnly="0" outline="0" fieldPosition="0"/>
    </format>
    <format dxfId="3014">
      <pivotArea outline="0" collapsedLevelsAreSubtotals="1" fieldPosition="0"/>
    </format>
    <format dxfId="3013">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0BB444A-5F28-4AA9-B3E9-B8D8228826F9}"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7:A38" firstHeaderRow="1" firstDataRow="1" firstDataCol="0"/>
  <pivotFields count="11">
    <pivotField showAll="0"/>
    <pivotField showAll="0"/>
    <pivotField showAll="0"/>
    <pivotField showAll="0"/>
    <pivotField showAll="0"/>
    <pivotField showAll="0"/>
    <pivotField showAll="0"/>
    <pivotField dataField="1" showAll="0"/>
    <pivotField showAll="0"/>
    <pivotField showAll="0"/>
    <pivotField showAll="0"/>
  </pivotFields>
  <rowItems count="1">
    <i/>
  </rowItems>
  <colItems count="1">
    <i/>
  </colItems>
  <dataFields count="1">
    <dataField name="Sum of Downtime Hours" fld="7" baseField="0" baseItem="0"/>
  </dataFields>
  <formats count="12">
    <format dxfId="3036">
      <pivotArea type="all" dataOnly="0" outline="0" fieldPosition="0"/>
    </format>
    <format dxfId="3035">
      <pivotArea outline="0" collapsedLevelsAreSubtotals="1" fieldPosition="0"/>
    </format>
    <format dxfId="3034">
      <pivotArea dataOnly="0" labelOnly="1" outline="0" axis="axisValues" fieldPosition="0"/>
    </format>
    <format dxfId="3033">
      <pivotArea type="all" dataOnly="0" outline="0" fieldPosition="0"/>
    </format>
    <format dxfId="3032">
      <pivotArea outline="0" collapsedLevelsAreSubtotals="1" fieldPosition="0"/>
    </format>
    <format dxfId="3031">
      <pivotArea dataOnly="0" labelOnly="1" outline="0" axis="axisValues" fieldPosition="0"/>
    </format>
    <format dxfId="3030">
      <pivotArea type="all" dataOnly="0" outline="0" fieldPosition="0"/>
    </format>
    <format dxfId="3029">
      <pivotArea outline="0" collapsedLevelsAreSubtotals="1" fieldPosition="0"/>
    </format>
    <format dxfId="3028">
      <pivotArea dataOnly="0" labelOnly="1" outline="0" axis="axisValues" fieldPosition="0"/>
    </format>
    <format dxfId="3027">
      <pivotArea type="all" dataOnly="0" outline="0" fieldPosition="0"/>
    </format>
    <format dxfId="3026">
      <pivotArea outline="0" collapsedLevelsAreSubtotals="1" fieldPosition="0"/>
    </format>
    <format dxfId="302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9DAEE35-A882-4877-A4CF-D272A70D275D}"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12:B17" firstHeaderRow="1" firstDataRow="1" firstDataCol="1"/>
  <pivotFields count="10">
    <pivotField axis="axisRow" dataField="1" showAll="0">
      <items count="5">
        <item x="0"/>
        <item x="1"/>
        <item x="3"/>
        <item x="2"/>
        <item t="default"/>
      </items>
    </pivotField>
    <pivotField showAll="0"/>
    <pivotField showAll="0"/>
    <pivotField showAll="0">
      <items count="4">
        <item x="0"/>
        <item x="1"/>
        <item x="2"/>
        <item t="default"/>
      </items>
    </pivotField>
    <pivotField showAll="0">
      <items count="5">
        <item x="2"/>
        <item x="0"/>
        <item x="1"/>
        <item x="3"/>
        <item t="default"/>
      </items>
    </pivotField>
    <pivotField showAll="0">
      <items count="5">
        <item x="2"/>
        <item x="1"/>
        <item x="0"/>
        <item x="3"/>
        <item t="default"/>
      </items>
    </pivotField>
    <pivotField showAll="0"/>
    <pivotField showAll="0"/>
    <pivotField showAll="0">
      <items count="5">
        <item x="0"/>
        <item x="1"/>
        <item x="3"/>
        <item x="2"/>
        <item t="default"/>
      </items>
    </pivotField>
    <pivotField showAll="0"/>
  </pivotFields>
  <rowFields count="1">
    <field x="0"/>
  </rowFields>
  <rowItems count="5">
    <i>
      <x/>
    </i>
    <i>
      <x v="1"/>
    </i>
    <i>
      <x v="2"/>
    </i>
    <i>
      <x v="3"/>
    </i>
    <i t="grand">
      <x/>
    </i>
  </rowItems>
  <colItems count="1">
    <i/>
  </colItems>
  <dataFields count="1">
    <dataField name="Count of Product Name" fld="0" subtotal="count" showDataAs="percentOfTotal" baseField="0" baseItem="2" numFmtId="10"/>
  </dataFields>
  <formats count="24">
    <format dxfId="3060">
      <pivotArea type="all" dataOnly="0" outline="0" fieldPosition="0"/>
    </format>
    <format dxfId="3059">
      <pivotArea outline="0" collapsedLevelsAreSubtotals="1" fieldPosition="0"/>
    </format>
    <format dxfId="3058">
      <pivotArea field="0" type="button" dataOnly="0" labelOnly="1" outline="0" axis="axisRow" fieldPosition="0"/>
    </format>
    <format dxfId="3057">
      <pivotArea dataOnly="0" labelOnly="1" fieldPosition="0">
        <references count="1">
          <reference field="0" count="0"/>
        </references>
      </pivotArea>
    </format>
    <format dxfId="3056">
      <pivotArea dataOnly="0" labelOnly="1" grandRow="1" outline="0" fieldPosition="0"/>
    </format>
    <format dxfId="3055">
      <pivotArea dataOnly="0" labelOnly="1" outline="0" axis="axisValues" fieldPosition="0"/>
    </format>
    <format dxfId="3054">
      <pivotArea type="all" dataOnly="0" outline="0" fieldPosition="0"/>
    </format>
    <format dxfId="3053">
      <pivotArea outline="0" collapsedLevelsAreSubtotals="1" fieldPosition="0"/>
    </format>
    <format dxfId="3052">
      <pivotArea field="0" type="button" dataOnly="0" labelOnly="1" outline="0" axis="axisRow" fieldPosition="0"/>
    </format>
    <format dxfId="3051">
      <pivotArea dataOnly="0" labelOnly="1" fieldPosition="0">
        <references count="1">
          <reference field="0" count="0"/>
        </references>
      </pivotArea>
    </format>
    <format dxfId="3050">
      <pivotArea dataOnly="0" labelOnly="1" grandRow="1" outline="0" fieldPosition="0"/>
    </format>
    <format dxfId="3049">
      <pivotArea dataOnly="0" labelOnly="1" outline="0" axis="axisValues" fieldPosition="0"/>
    </format>
    <format dxfId="3048">
      <pivotArea type="all" dataOnly="0" outline="0" fieldPosition="0"/>
    </format>
    <format dxfId="3047">
      <pivotArea outline="0" collapsedLevelsAreSubtotals="1" fieldPosition="0"/>
    </format>
    <format dxfId="3046">
      <pivotArea field="0" type="button" dataOnly="0" labelOnly="1" outline="0" axis="axisRow" fieldPosition="0"/>
    </format>
    <format dxfId="3045">
      <pivotArea dataOnly="0" labelOnly="1" fieldPosition="0">
        <references count="1">
          <reference field="0" count="0"/>
        </references>
      </pivotArea>
    </format>
    <format dxfId="3044">
      <pivotArea dataOnly="0" labelOnly="1" grandRow="1" outline="0" fieldPosition="0"/>
    </format>
    <format dxfId="3043">
      <pivotArea dataOnly="0" labelOnly="1" outline="0" axis="axisValues" fieldPosition="0"/>
    </format>
    <format dxfId="3042">
      <pivotArea type="all" dataOnly="0" outline="0" fieldPosition="0"/>
    </format>
    <format dxfId="3041">
      <pivotArea outline="0" collapsedLevelsAreSubtotals="1" fieldPosition="0"/>
    </format>
    <format dxfId="3040">
      <pivotArea field="0" type="button" dataOnly="0" labelOnly="1" outline="0" axis="axisRow" fieldPosition="0"/>
    </format>
    <format dxfId="3039">
      <pivotArea dataOnly="0" labelOnly="1" fieldPosition="0">
        <references count="1">
          <reference field="0" count="0"/>
        </references>
      </pivotArea>
    </format>
    <format dxfId="3038">
      <pivotArea dataOnly="0" labelOnly="1" grandRow="1" outline="0" fieldPosition="0"/>
    </format>
    <format dxfId="3037">
      <pivotArea dataOnly="0" labelOnly="1" outline="0" axis="axisValues" fieldPosition="0"/>
    </format>
  </formats>
  <chartFormats count="11">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0" count="1" selected="0">
            <x v="0"/>
          </reference>
        </references>
      </pivotArea>
    </chartFormat>
    <chartFormat chart="2" format="8">
      <pivotArea type="data" outline="0" fieldPosition="0">
        <references count="2">
          <reference field="4294967294" count="1" selected="0">
            <x v="0"/>
          </reference>
          <reference field="0" count="1" selected="0">
            <x v="1"/>
          </reference>
        </references>
      </pivotArea>
    </chartFormat>
    <chartFormat chart="2" format="9">
      <pivotArea type="data" outline="0" fieldPosition="0">
        <references count="2">
          <reference field="4294967294" count="1" selected="0">
            <x v="0"/>
          </reference>
          <reference field="0" count="1" selected="0">
            <x v="2"/>
          </reference>
        </references>
      </pivotArea>
    </chartFormat>
    <chartFormat chart="2" format="10">
      <pivotArea type="data" outline="0" fieldPosition="0">
        <references count="2">
          <reference field="4294967294" count="1" selected="0">
            <x v="0"/>
          </reference>
          <reference field="0" count="1" selected="0">
            <x v="3"/>
          </reference>
        </references>
      </pivotArea>
    </chartFormat>
    <chartFormat chart="15" format="20" series="1">
      <pivotArea type="data" outline="0" fieldPosition="0">
        <references count="1">
          <reference field="4294967294" count="1" selected="0">
            <x v="0"/>
          </reference>
        </references>
      </pivotArea>
    </chartFormat>
    <chartFormat chart="15" format="21">
      <pivotArea type="data" outline="0" fieldPosition="0">
        <references count="2">
          <reference field="4294967294" count="1" selected="0">
            <x v="0"/>
          </reference>
          <reference field="0" count="1" selected="0">
            <x v="0"/>
          </reference>
        </references>
      </pivotArea>
    </chartFormat>
    <chartFormat chart="15" format="22">
      <pivotArea type="data" outline="0" fieldPosition="0">
        <references count="2">
          <reference field="4294967294" count="1" selected="0">
            <x v="0"/>
          </reference>
          <reference field="0" count="1" selected="0">
            <x v="1"/>
          </reference>
        </references>
      </pivotArea>
    </chartFormat>
    <chartFormat chart="15" format="23">
      <pivotArea type="data" outline="0" fieldPosition="0">
        <references count="2">
          <reference field="4294967294" count="1" selected="0">
            <x v="0"/>
          </reference>
          <reference field="0" count="1" selected="0">
            <x v="2"/>
          </reference>
        </references>
      </pivotArea>
    </chartFormat>
    <chartFormat chart="15" format="24">
      <pivotArea type="data" outline="0" fieldPosition="0">
        <references count="2">
          <reference field="4294967294" count="1" selected="0">
            <x v="0"/>
          </reference>
          <reference field="0" count="1" selected="0">
            <x v="3"/>
          </reference>
        </references>
      </pivotArea>
    </chartFormat>
    <chartFormat chart="19"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0C3E831-9A9A-4751-98A4-B18822D12D52}"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20:B25" firstHeaderRow="1" firstDataRow="1" firstDataCol="1"/>
  <pivotFields count="10">
    <pivotField showAll="0"/>
    <pivotField showAll="0"/>
    <pivotField dataField="1" showAll="0"/>
    <pivotField showAll="0">
      <items count="4">
        <item x="0"/>
        <item x="1"/>
        <item x="2"/>
        <item t="default"/>
      </items>
    </pivotField>
    <pivotField axis="axisRow" showAll="0">
      <items count="5">
        <item x="2"/>
        <item x="0"/>
        <item x="1"/>
        <item x="3"/>
        <item t="default"/>
      </items>
    </pivotField>
    <pivotField showAll="0">
      <items count="5">
        <item x="2"/>
        <item x="1"/>
        <item x="0"/>
        <item x="3"/>
        <item t="default"/>
      </items>
    </pivotField>
    <pivotField showAll="0"/>
    <pivotField showAll="0"/>
    <pivotField showAll="0">
      <items count="5">
        <item x="0"/>
        <item x="1"/>
        <item x="3"/>
        <item x="2"/>
        <item t="default"/>
      </items>
    </pivotField>
    <pivotField showAll="0"/>
  </pivotFields>
  <rowFields count="1">
    <field x="4"/>
  </rowFields>
  <rowItems count="5">
    <i>
      <x/>
    </i>
    <i>
      <x v="1"/>
    </i>
    <i>
      <x v="2"/>
    </i>
    <i>
      <x v="3"/>
    </i>
    <i t="grand">
      <x/>
    </i>
  </rowItems>
  <colItems count="1">
    <i/>
  </colItems>
  <dataFields count="1">
    <dataField name="Sum of Quantity Produced" fld="2" baseField="0" baseItem="0"/>
  </dataFields>
  <formats count="25">
    <format dxfId="3085">
      <pivotArea collapsedLevelsAreSubtotals="1" fieldPosition="0">
        <references count="1">
          <reference field="4" count="0"/>
        </references>
      </pivotArea>
    </format>
    <format dxfId="3084">
      <pivotArea type="all" dataOnly="0" outline="0" fieldPosition="0"/>
    </format>
    <format dxfId="3083">
      <pivotArea outline="0" collapsedLevelsAreSubtotals="1" fieldPosition="0"/>
    </format>
    <format dxfId="3082">
      <pivotArea field="4" type="button" dataOnly="0" labelOnly="1" outline="0" axis="axisRow" fieldPosition="0"/>
    </format>
    <format dxfId="3081">
      <pivotArea dataOnly="0" labelOnly="1" fieldPosition="0">
        <references count="1">
          <reference field="4" count="0"/>
        </references>
      </pivotArea>
    </format>
    <format dxfId="3080">
      <pivotArea dataOnly="0" labelOnly="1" grandRow="1" outline="0" fieldPosition="0"/>
    </format>
    <format dxfId="3079">
      <pivotArea dataOnly="0" labelOnly="1" outline="0" axis="axisValues" fieldPosition="0"/>
    </format>
    <format dxfId="3078">
      <pivotArea type="all" dataOnly="0" outline="0" fieldPosition="0"/>
    </format>
    <format dxfId="3077">
      <pivotArea outline="0" collapsedLevelsAreSubtotals="1" fieldPosition="0"/>
    </format>
    <format dxfId="3076">
      <pivotArea field="4" type="button" dataOnly="0" labelOnly="1" outline="0" axis="axisRow" fieldPosition="0"/>
    </format>
    <format dxfId="3075">
      <pivotArea dataOnly="0" labelOnly="1" fieldPosition="0">
        <references count="1">
          <reference field="4" count="0"/>
        </references>
      </pivotArea>
    </format>
    <format dxfId="3074">
      <pivotArea dataOnly="0" labelOnly="1" grandRow="1" outline="0" fieldPosition="0"/>
    </format>
    <format dxfId="3073">
      <pivotArea dataOnly="0" labelOnly="1" outline="0" axis="axisValues" fieldPosition="0"/>
    </format>
    <format dxfId="3072">
      <pivotArea type="all" dataOnly="0" outline="0" fieldPosition="0"/>
    </format>
    <format dxfId="3071">
      <pivotArea outline="0" collapsedLevelsAreSubtotals="1" fieldPosition="0"/>
    </format>
    <format dxfId="3070">
      <pivotArea field="4" type="button" dataOnly="0" labelOnly="1" outline="0" axis="axisRow" fieldPosition="0"/>
    </format>
    <format dxfId="3069">
      <pivotArea dataOnly="0" labelOnly="1" fieldPosition="0">
        <references count="1">
          <reference field="4" count="0"/>
        </references>
      </pivotArea>
    </format>
    <format dxfId="3068">
      <pivotArea dataOnly="0" labelOnly="1" grandRow="1" outline="0" fieldPosition="0"/>
    </format>
    <format dxfId="3067">
      <pivotArea dataOnly="0" labelOnly="1" outline="0" axis="axisValues" fieldPosition="0"/>
    </format>
    <format dxfId="3066">
      <pivotArea type="all" dataOnly="0" outline="0" fieldPosition="0"/>
    </format>
    <format dxfId="3065">
      <pivotArea outline="0" collapsedLevelsAreSubtotals="1" fieldPosition="0"/>
    </format>
    <format dxfId="3064">
      <pivotArea field="4" type="button" dataOnly="0" labelOnly="1" outline="0" axis="axisRow" fieldPosition="0"/>
    </format>
    <format dxfId="3063">
      <pivotArea dataOnly="0" labelOnly="1" fieldPosition="0">
        <references count="1">
          <reference field="4" count="0"/>
        </references>
      </pivotArea>
    </format>
    <format dxfId="3062">
      <pivotArea dataOnly="0" labelOnly="1" grandRow="1" outline="0" fieldPosition="0"/>
    </format>
    <format dxfId="3061">
      <pivotArea dataOnly="0" labelOnly="1" outline="0" axis="axisValues" fieldPosition="0"/>
    </format>
  </formats>
  <chartFormats count="6">
    <chartFormat chart="3" format="0" series="1">
      <pivotArea type="data" outline="0" fieldPosition="0">
        <references count="1">
          <reference field="4294967294" count="1" selected="0">
            <x v="0"/>
          </reference>
        </references>
      </pivotArea>
    </chartFormat>
    <chartFormat chart="7" format="6" series="1">
      <pivotArea type="data" outline="0" fieldPosition="0">
        <references count="1">
          <reference field="4294967294" count="1" selected="0">
            <x v="0"/>
          </reference>
        </references>
      </pivotArea>
    </chartFormat>
    <chartFormat chart="7" format="7">
      <pivotArea type="data" outline="0" fieldPosition="0">
        <references count="2">
          <reference field="4294967294" count="1" selected="0">
            <x v="0"/>
          </reference>
          <reference field="4" count="1" selected="0">
            <x v="0"/>
          </reference>
        </references>
      </pivotArea>
    </chartFormat>
    <chartFormat chart="7" format="8">
      <pivotArea type="data" outline="0" fieldPosition="0">
        <references count="2">
          <reference field="4294967294" count="1" selected="0">
            <x v="0"/>
          </reference>
          <reference field="4" count="1" selected="0">
            <x v="1"/>
          </reference>
        </references>
      </pivotArea>
    </chartFormat>
    <chartFormat chart="7" format="9">
      <pivotArea type="data" outline="0" fieldPosition="0">
        <references count="2">
          <reference field="4294967294" count="1" selected="0">
            <x v="0"/>
          </reference>
          <reference field="4" count="1" selected="0">
            <x v="2"/>
          </reference>
        </references>
      </pivotArea>
    </chartFormat>
    <chartFormat chart="7" format="10">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2420FE1-E836-479E-B616-6186CB52711F}" name="PivotTable7"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8:A29" firstHeaderRow="1" firstDataRow="1" firstDataCol="0"/>
  <pivotFields count="10">
    <pivotField showAll="0"/>
    <pivotField showAll="0"/>
    <pivotField dataField="1" showAll="0"/>
    <pivotField showAll="0">
      <items count="4">
        <item x="0"/>
        <item x="1"/>
        <item x="2"/>
        <item t="default"/>
      </items>
    </pivotField>
    <pivotField showAll="0">
      <items count="5">
        <item x="2"/>
        <item x="0"/>
        <item x="1"/>
        <item x="3"/>
        <item t="default"/>
      </items>
    </pivotField>
    <pivotField showAll="0">
      <items count="5">
        <item x="2"/>
        <item x="1"/>
        <item x="0"/>
        <item x="3"/>
        <item t="default"/>
      </items>
    </pivotField>
    <pivotField showAll="0"/>
    <pivotField showAll="0"/>
    <pivotField showAll="0">
      <items count="5">
        <item x="0"/>
        <item x="1"/>
        <item x="3"/>
        <item x="2"/>
        <item t="default"/>
      </items>
    </pivotField>
    <pivotField showAll="0"/>
  </pivotFields>
  <rowItems count="1">
    <i/>
  </rowItems>
  <colItems count="1">
    <i/>
  </colItems>
  <dataFields count="1">
    <dataField name="Sum of Quantity Produced" fld="2" baseField="0" baseItem="0"/>
  </dataFields>
  <formats count="12">
    <format dxfId="3097">
      <pivotArea type="all" dataOnly="0" outline="0" fieldPosition="0"/>
    </format>
    <format dxfId="3096">
      <pivotArea outline="0" collapsedLevelsAreSubtotals="1" fieldPosition="0"/>
    </format>
    <format dxfId="3095">
      <pivotArea dataOnly="0" labelOnly="1" outline="0" axis="axisValues" fieldPosition="0"/>
    </format>
    <format dxfId="3094">
      <pivotArea type="all" dataOnly="0" outline="0" fieldPosition="0"/>
    </format>
    <format dxfId="3093">
      <pivotArea outline="0" collapsedLevelsAreSubtotals="1" fieldPosition="0"/>
    </format>
    <format dxfId="3092">
      <pivotArea dataOnly="0" labelOnly="1" outline="0" axis="axisValues" fieldPosition="0"/>
    </format>
    <format dxfId="3091">
      <pivotArea type="all" dataOnly="0" outline="0" fieldPosition="0"/>
    </format>
    <format dxfId="3090">
      <pivotArea outline="0" collapsedLevelsAreSubtotals="1" fieldPosition="0"/>
    </format>
    <format dxfId="3089">
      <pivotArea dataOnly="0" labelOnly="1" outline="0" axis="axisValues" fieldPosition="0"/>
    </format>
    <format dxfId="3088">
      <pivotArea type="all" dataOnly="0" outline="0" fieldPosition="0"/>
    </format>
    <format dxfId="3087">
      <pivotArea outline="0" collapsedLevelsAreSubtotals="1" fieldPosition="0"/>
    </format>
    <format dxfId="308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64C0518-D2B5-4743-AE49-A11B1E56C9AF}" name="PivotTable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13:G18" firstHeaderRow="0" firstDataRow="1" firstDataCol="1"/>
  <pivotFields count="10">
    <pivotField showAll="0"/>
    <pivotField showAll="0"/>
    <pivotField dataField="1" showAll="0"/>
    <pivotField showAll="0">
      <items count="4">
        <item x="0"/>
        <item x="1"/>
        <item x="2"/>
        <item t="default"/>
      </items>
    </pivotField>
    <pivotField showAll="0">
      <items count="5">
        <item x="2"/>
        <item x="0"/>
        <item x="1"/>
        <item x="3"/>
        <item t="default"/>
      </items>
    </pivotField>
    <pivotField showAll="0">
      <items count="5">
        <item x="2"/>
        <item x="1"/>
        <item x="0"/>
        <item x="3"/>
        <item t="default"/>
      </items>
    </pivotField>
    <pivotField dataField="1" showAll="0"/>
    <pivotField showAll="0"/>
    <pivotField axis="axisRow" showAll="0">
      <items count="5">
        <item x="0"/>
        <item x="1"/>
        <item x="3"/>
        <item x="2"/>
        <item t="default"/>
      </items>
    </pivotField>
    <pivotField dataField="1" showAll="0"/>
  </pivotFields>
  <rowFields count="1">
    <field x="8"/>
  </rowFields>
  <rowItems count="5">
    <i>
      <x/>
    </i>
    <i>
      <x v="1"/>
    </i>
    <i>
      <x v="2"/>
    </i>
    <i>
      <x v="3"/>
    </i>
    <i t="grand">
      <x/>
    </i>
  </rowItems>
  <colFields count="1">
    <field x="-2"/>
  </colFields>
  <colItems count="3">
    <i>
      <x/>
    </i>
    <i i="1">
      <x v="1"/>
    </i>
    <i i="2">
      <x v="2"/>
    </i>
  </colItems>
  <dataFields count="3">
    <dataField name="Average of Delivery Delay Days" fld="9" subtotal="average" baseField="8" baseItem="1" numFmtId="2"/>
    <dataField name="Total Quantity Produced" fld="2" baseField="0" baseItem="0"/>
    <dataField name="Total Defect Count" fld="6" baseField="0" baseItem="0"/>
  </dataFields>
  <formats count="37">
    <format dxfId="3134">
      <pivotArea outline="0" collapsedLevelsAreSubtotals="1" fieldPosition="0">
        <references count="1">
          <reference field="4294967294" count="1" selected="0">
            <x v="0"/>
          </reference>
        </references>
      </pivotArea>
    </format>
    <format dxfId="3133">
      <pivotArea type="all" dataOnly="0" outline="0" fieldPosition="0"/>
    </format>
    <format dxfId="3132">
      <pivotArea outline="0" collapsedLevelsAreSubtotals="1" fieldPosition="0"/>
    </format>
    <format dxfId="3131">
      <pivotArea field="8" type="button" dataOnly="0" labelOnly="1" outline="0" axis="axisRow" fieldPosition="0"/>
    </format>
    <format dxfId="3130">
      <pivotArea dataOnly="0" labelOnly="1" fieldPosition="0">
        <references count="1">
          <reference field="8" count="0"/>
        </references>
      </pivotArea>
    </format>
    <format dxfId="3129">
      <pivotArea dataOnly="0" labelOnly="1" grandRow="1" outline="0" fieldPosition="0"/>
    </format>
    <format dxfId="3128">
      <pivotArea dataOnly="0" labelOnly="1" outline="0" fieldPosition="0">
        <references count="1">
          <reference field="4294967294" count="3">
            <x v="0"/>
            <x v="1"/>
            <x v="2"/>
          </reference>
        </references>
      </pivotArea>
    </format>
    <format dxfId="3127">
      <pivotArea type="all" dataOnly="0" outline="0" fieldPosition="0"/>
    </format>
    <format dxfId="3126">
      <pivotArea outline="0" collapsedLevelsAreSubtotals="1" fieldPosition="0"/>
    </format>
    <format dxfId="3125">
      <pivotArea field="8" type="button" dataOnly="0" labelOnly="1" outline="0" axis="axisRow" fieldPosition="0"/>
    </format>
    <format dxfId="3124">
      <pivotArea dataOnly="0" labelOnly="1" fieldPosition="0">
        <references count="1">
          <reference field="8" count="0"/>
        </references>
      </pivotArea>
    </format>
    <format dxfId="3123">
      <pivotArea dataOnly="0" labelOnly="1" grandRow="1" outline="0" fieldPosition="0"/>
    </format>
    <format dxfId="3122">
      <pivotArea dataOnly="0" labelOnly="1" outline="0" fieldPosition="0">
        <references count="1">
          <reference field="4294967294" count="3">
            <x v="0"/>
            <x v="1"/>
            <x v="2"/>
          </reference>
        </references>
      </pivotArea>
    </format>
    <format dxfId="3121">
      <pivotArea type="all" dataOnly="0" outline="0" fieldPosition="0"/>
    </format>
    <format dxfId="3120">
      <pivotArea outline="0" collapsedLevelsAreSubtotals="1" fieldPosition="0"/>
    </format>
    <format dxfId="3119">
      <pivotArea field="8" type="button" dataOnly="0" labelOnly="1" outline="0" axis="axisRow" fieldPosition="0"/>
    </format>
    <format dxfId="3118">
      <pivotArea dataOnly="0" labelOnly="1" fieldPosition="0">
        <references count="1">
          <reference field="8" count="0"/>
        </references>
      </pivotArea>
    </format>
    <format dxfId="3117">
      <pivotArea dataOnly="0" labelOnly="1" grandRow="1" outline="0" fieldPosition="0"/>
    </format>
    <format dxfId="3116">
      <pivotArea dataOnly="0" labelOnly="1" outline="0" fieldPosition="0">
        <references count="1">
          <reference field="4294967294" count="3">
            <x v="0"/>
            <x v="1"/>
            <x v="2"/>
          </reference>
        </references>
      </pivotArea>
    </format>
    <format dxfId="3115">
      <pivotArea type="all" dataOnly="0" outline="0" fieldPosition="0"/>
    </format>
    <format dxfId="3114">
      <pivotArea outline="0" collapsedLevelsAreSubtotals="1" fieldPosition="0"/>
    </format>
    <format dxfId="3113">
      <pivotArea field="8" type="button" dataOnly="0" labelOnly="1" outline="0" axis="axisRow" fieldPosition="0"/>
    </format>
    <format dxfId="3112">
      <pivotArea dataOnly="0" labelOnly="1" fieldPosition="0">
        <references count="1">
          <reference field="8" count="0"/>
        </references>
      </pivotArea>
    </format>
    <format dxfId="3111">
      <pivotArea dataOnly="0" labelOnly="1" grandRow="1" outline="0" fieldPosition="0"/>
    </format>
    <format dxfId="3110">
      <pivotArea dataOnly="0" labelOnly="1" outline="0" fieldPosition="0">
        <references count="1">
          <reference field="4294967294" count="3">
            <x v="0"/>
            <x v="1"/>
            <x v="2"/>
          </reference>
        </references>
      </pivotArea>
    </format>
    <format dxfId="3109">
      <pivotArea type="all" dataOnly="0" outline="0" fieldPosition="0"/>
    </format>
    <format dxfId="3108">
      <pivotArea outline="0" collapsedLevelsAreSubtotals="1" fieldPosition="0"/>
    </format>
    <format dxfId="3107">
      <pivotArea field="8" type="button" dataOnly="0" labelOnly="1" outline="0" axis="axisRow" fieldPosition="0"/>
    </format>
    <format dxfId="3106">
      <pivotArea dataOnly="0" labelOnly="1" fieldPosition="0">
        <references count="1">
          <reference field="8" count="0"/>
        </references>
      </pivotArea>
    </format>
    <format dxfId="3105">
      <pivotArea dataOnly="0" labelOnly="1" grandRow="1" outline="0" fieldPosition="0"/>
    </format>
    <format dxfId="3104">
      <pivotArea dataOnly="0" labelOnly="1" outline="0" fieldPosition="0">
        <references count="1">
          <reference field="4294967294" count="3">
            <x v="0"/>
            <x v="1"/>
            <x v="2"/>
          </reference>
        </references>
      </pivotArea>
    </format>
    <format dxfId="3103">
      <pivotArea type="all" dataOnly="0" outline="0" fieldPosition="0"/>
    </format>
    <format dxfId="3102">
      <pivotArea outline="0" collapsedLevelsAreSubtotals="1" fieldPosition="0"/>
    </format>
    <format dxfId="3101">
      <pivotArea field="8" type="button" dataOnly="0" labelOnly="1" outline="0" axis="axisRow" fieldPosition="0"/>
    </format>
    <format dxfId="3100">
      <pivotArea dataOnly="0" labelOnly="1" fieldPosition="0">
        <references count="1">
          <reference field="8" count="0"/>
        </references>
      </pivotArea>
    </format>
    <format dxfId="3099">
      <pivotArea dataOnly="0" labelOnly="1" grandRow="1" outline="0" fieldPosition="0"/>
    </format>
    <format dxfId="3098">
      <pivotArea dataOnly="0" labelOnly="1" outline="0" fieldPosition="0">
        <references count="1">
          <reference field="4294967294" count="3">
            <x v="0"/>
            <x v="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1B14A46-F2BF-4EE4-9E99-B17B75F0E55F}"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location ref="G3:L9" firstHeaderRow="1" firstDataRow="2" firstDataCol="1"/>
  <pivotFields count="10">
    <pivotField axis="axisRow" showAll="0">
      <items count="5">
        <item x="0"/>
        <item x="1"/>
        <item x="3"/>
        <item x="2"/>
        <item t="default"/>
      </items>
    </pivotField>
    <pivotField showAll="0"/>
    <pivotField showAll="0"/>
    <pivotField showAll="0">
      <items count="4">
        <item x="0"/>
        <item x="1"/>
        <item x="2"/>
        <item t="default"/>
      </items>
    </pivotField>
    <pivotField showAll="0">
      <items count="5">
        <item x="2"/>
        <item x="0"/>
        <item x="1"/>
        <item x="3"/>
        <item t="default"/>
      </items>
    </pivotField>
    <pivotField axis="axisCol" multipleItemSelectionAllowed="1" showAll="0">
      <items count="5">
        <item x="2"/>
        <item x="1"/>
        <item x="0"/>
        <item x="3"/>
        <item t="default"/>
      </items>
    </pivotField>
    <pivotField dataField="1" showAll="0"/>
    <pivotField showAll="0"/>
    <pivotField showAll="0">
      <items count="5">
        <item x="0"/>
        <item x="1"/>
        <item x="3"/>
        <item x="2"/>
        <item t="default"/>
      </items>
    </pivotField>
    <pivotField showAll="0"/>
  </pivotFields>
  <rowFields count="1">
    <field x="0"/>
  </rowFields>
  <rowItems count="5">
    <i>
      <x/>
    </i>
    <i>
      <x v="1"/>
    </i>
    <i>
      <x v="2"/>
    </i>
    <i>
      <x v="3"/>
    </i>
    <i t="grand">
      <x/>
    </i>
  </rowItems>
  <colFields count="1">
    <field x="5"/>
  </colFields>
  <colItems count="5">
    <i>
      <x/>
    </i>
    <i>
      <x v="1"/>
    </i>
    <i>
      <x v="2"/>
    </i>
    <i>
      <x v="3"/>
    </i>
    <i t="grand">
      <x/>
    </i>
  </colItems>
  <dataFields count="1">
    <dataField name="Sum of Defect Count" fld="6" baseField="0" baseItem="0"/>
  </dataFields>
  <formats count="40">
    <format dxfId="3174">
      <pivotArea type="all" dataOnly="0" outline="0" fieldPosition="0"/>
    </format>
    <format dxfId="3173">
      <pivotArea outline="0" collapsedLevelsAreSubtotals="1" fieldPosition="0"/>
    </format>
    <format dxfId="3172">
      <pivotArea type="origin" dataOnly="0" labelOnly="1" outline="0" fieldPosition="0"/>
    </format>
    <format dxfId="3171">
      <pivotArea field="5" type="button" dataOnly="0" labelOnly="1" outline="0" axis="axisCol" fieldPosition="0"/>
    </format>
    <format dxfId="3170">
      <pivotArea type="topRight" dataOnly="0" labelOnly="1" outline="0" fieldPosition="0"/>
    </format>
    <format dxfId="3169">
      <pivotArea field="0" type="button" dataOnly="0" labelOnly="1" outline="0" axis="axisRow" fieldPosition="0"/>
    </format>
    <format dxfId="3168">
      <pivotArea dataOnly="0" labelOnly="1" fieldPosition="0">
        <references count="1">
          <reference field="0" count="0"/>
        </references>
      </pivotArea>
    </format>
    <format dxfId="3167">
      <pivotArea dataOnly="0" labelOnly="1" grandRow="1" outline="0" fieldPosition="0"/>
    </format>
    <format dxfId="3166">
      <pivotArea dataOnly="0" labelOnly="1" fieldPosition="0">
        <references count="1">
          <reference field="5" count="0"/>
        </references>
      </pivotArea>
    </format>
    <format dxfId="3165">
      <pivotArea dataOnly="0" labelOnly="1" grandCol="1" outline="0" fieldPosition="0"/>
    </format>
    <format dxfId="3164">
      <pivotArea type="all" dataOnly="0" outline="0" fieldPosition="0"/>
    </format>
    <format dxfId="3163">
      <pivotArea outline="0" collapsedLevelsAreSubtotals="1" fieldPosition="0"/>
    </format>
    <format dxfId="3162">
      <pivotArea type="origin" dataOnly="0" labelOnly="1" outline="0" fieldPosition="0"/>
    </format>
    <format dxfId="3161">
      <pivotArea field="5" type="button" dataOnly="0" labelOnly="1" outline="0" axis="axisCol" fieldPosition="0"/>
    </format>
    <format dxfId="3160">
      <pivotArea type="topRight" dataOnly="0" labelOnly="1" outline="0" fieldPosition="0"/>
    </format>
    <format dxfId="3159">
      <pivotArea field="0" type="button" dataOnly="0" labelOnly="1" outline="0" axis="axisRow" fieldPosition="0"/>
    </format>
    <format dxfId="3158">
      <pivotArea dataOnly="0" labelOnly="1" fieldPosition="0">
        <references count="1">
          <reference field="0" count="0"/>
        </references>
      </pivotArea>
    </format>
    <format dxfId="3157">
      <pivotArea dataOnly="0" labelOnly="1" grandRow="1" outline="0" fieldPosition="0"/>
    </format>
    <format dxfId="3156">
      <pivotArea dataOnly="0" labelOnly="1" fieldPosition="0">
        <references count="1">
          <reference field="5" count="0"/>
        </references>
      </pivotArea>
    </format>
    <format dxfId="3155">
      <pivotArea dataOnly="0" labelOnly="1" grandCol="1" outline="0" fieldPosition="0"/>
    </format>
    <format dxfId="3154">
      <pivotArea type="all" dataOnly="0" outline="0" fieldPosition="0"/>
    </format>
    <format dxfId="3153">
      <pivotArea outline="0" collapsedLevelsAreSubtotals="1" fieldPosition="0"/>
    </format>
    <format dxfId="3152">
      <pivotArea type="origin" dataOnly="0" labelOnly="1" outline="0" fieldPosition="0"/>
    </format>
    <format dxfId="3151">
      <pivotArea field="5" type="button" dataOnly="0" labelOnly="1" outline="0" axis="axisCol" fieldPosition="0"/>
    </format>
    <format dxfId="3150">
      <pivotArea type="topRight" dataOnly="0" labelOnly="1" outline="0" fieldPosition="0"/>
    </format>
    <format dxfId="3149">
      <pivotArea field="0" type="button" dataOnly="0" labelOnly="1" outline="0" axis="axisRow" fieldPosition="0"/>
    </format>
    <format dxfId="3148">
      <pivotArea dataOnly="0" labelOnly="1" fieldPosition="0">
        <references count="1">
          <reference field="0" count="0"/>
        </references>
      </pivotArea>
    </format>
    <format dxfId="3147">
      <pivotArea dataOnly="0" labelOnly="1" grandRow="1" outline="0" fieldPosition="0"/>
    </format>
    <format dxfId="3146">
      <pivotArea dataOnly="0" labelOnly="1" fieldPosition="0">
        <references count="1">
          <reference field="5" count="0"/>
        </references>
      </pivotArea>
    </format>
    <format dxfId="3145">
      <pivotArea dataOnly="0" labelOnly="1" grandCol="1" outline="0" fieldPosition="0"/>
    </format>
    <format dxfId="3144">
      <pivotArea type="all" dataOnly="0" outline="0" fieldPosition="0"/>
    </format>
    <format dxfId="3143">
      <pivotArea outline="0" collapsedLevelsAreSubtotals="1" fieldPosition="0"/>
    </format>
    <format dxfId="3142">
      <pivotArea type="origin" dataOnly="0" labelOnly="1" outline="0" fieldPosition="0"/>
    </format>
    <format dxfId="3141">
      <pivotArea field="5" type="button" dataOnly="0" labelOnly="1" outline="0" axis="axisCol" fieldPosition="0"/>
    </format>
    <format dxfId="3140">
      <pivotArea type="topRight" dataOnly="0" labelOnly="1" outline="0" fieldPosition="0"/>
    </format>
    <format dxfId="3139">
      <pivotArea field="0" type="button" dataOnly="0" labelOnly="1" outline="0" axis="axisRow" fieldPosition="0"/>
    </format>
    <format dxfId="3138">
      <pivotArea dataOnly="0" labelOnly="1" fieldPosition="0">
        <references count="1">
          <reference field="0" count="0"/>
        </references>
      </pivotArea>
    </format>
    <format dxfId="3137">
      <pivotArea dataOnly="0" labelOnly="1" grandRow="1" outline="0" fieldPosition="0"/>
    </format>
    <format dxfId="3136">
      <pivotArea dataOnly="0" labelOnly="1" fieldPosition="0">
        <references count="1">
          <reference field="5" count="0"/>
        </references>
      </pivotArea>
    </format>
    <format dxfId="3135">
      <pivotArea dataOnly="0" labelOnly="1" grandCol="1" outline="0" fieldPosition="0"/>
    </format>
  </formats>
  <chartFormats count="10">
    <chartFormat chart="7" format="12" series="1">
      <pivotArea type="data" outline="0" fieldPosition="0">
        <references count="1">
          <reference field="4294967294" count="1" selected="0">
            <x v="0"/>
          </reference>
        </references>
      </pivotArea>
    </chartFormat>
    <chartFormat chart="4" format="12" series="1">
      <pivotArea type="data" outline="0" fieldPosition="0">
        <references count="1">
          <reference field="4294967294" count="1" selected="0">
            <x v="0"/>
          </reference>
        </references>
      </pivotArea>
    </chartFormat>
    <chartFormat chart="4" format="28" series="1">
      <pivotArea type="data" outline="0" fieldPosition="0">
        <references count="2">
          <reference field="4294967294" count="1" selected="0">
            <x v="0"/>
          </reference>
          <reference field="5" count="1" selected="0">
            <x v="0"/>
          </reference>
        </references>
      </pivotArea>
    </chartFormat>
    <chartFormat chart="4" format="29" series="1">
      <pivotArea type="data" outline="0" fieldPosition="0">
        <references count="2">
          <reference field="4294967294" count="1" selected="0">
            <x v="0"/>
          </reference>
          <reference field="5" count="1" selected="0">
            <x v="1"/>
          </reference>
        </references>
      </pivotArea>
    </chartFormat>
    <chartFormat chart="4" format="30" series="1">
      <pivotArea type="data" outline="0" fieldPosition="0">
        <references count="2">
          <reference field="4294967294" count="1" selected="0">
            <x v="0"/>
          </reference>
          <reference field="5" count="1" selected="0">
            <x v="2"/>
          </reference>
        </references>
      </pivotArea>
    </chartFormat>
    <chartFormat chart="4" format="31" series="1">
      <pivotArea type="data" outline="0" fieldPosition="0">
        <references count="2">
          <reference field="4294967294" count="1" selected="0">
            <x v="0"/>
          </reference>
          <reference field="5" count="1" selected="0">
            <x v="3"/>
          </reference>
        </references>
      </pivotArea>
    </chartFormat>
    <chartFormat chart="7" format="28" series="1">
      <pivotArea type="data" outline="0" fieldPosition="0">
        <references count="2">
          <reference field="4294967294" count="1" selected="0">
            <x v="0"/>
          </reference>
          <reference field="5" count="1" selected="0">
            <x v="0"/>
          </reference>
        </references>
      </pivotArea>
    </chartFormat>
    <chartFormat chart="7" format="29" series="1">
      <pivotArea type="data" outline="0" fieldPosition="0">
        <references count="2">
          <reference field="4294967294" count="1" selected="0">
            <x v="0"/>
          </reference>
          <reference field="5" count="1" selected="0">
            <x v="1"/>
          </reference>
        </references>
      </pivotArea>
    </chartFormat>
    <chartFormat chart="7" format="30" series="1">
      <pivotArea type="data" outline="0" fieldPosition="0">
        <references count="2">
          <reference field="4294967294" count="1" selected="0">
            <x v="0"/>
          </reference>
          <reference field="5" count="1" selected="0">
            <x v="2"/>
          </reference>
        </references>
      </pivotArea>
    </chartFormat>
    <chartFormat chart="7" format="31" series="1">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3082827-CDD0-40AC-B9C9-089B2BF63EFA}"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D21:E34" firstHeaderRow="1" firstDataRow="1" firstDataCol="1"/>
  <pivotFields count="11">
    <pivotField showAll="0"/>
    <pivotField showAll="0"/>
    <pivotField dataField="1" showAll="0"/>
    <pivotField showAll="0"/>
    <pivotField showAll="0"/>
    <pivotField showAll="0"/>
    <pivotField showAll="0"/>
    <pivotField showAll="0"/>
    <pivotField showAll="0"/>
    <pivotField showAll="0"/>
    <pivotField axis="axisRow" showAll="0">
      <items count="13">
        <item x="2"/>
        <item x="11"/>
        <item x="0"/>
        <item x="6"/>
        <item x="9"/>
        <item x="3"/>
        <item x="4"/>
        <item x="7"/>
        <item x="5"/>
        <item x="1"/>
        <item x="8"/>
        <item x="10"/>
        <item t="default"/>
      </items>
    </pivotField>
  </pivotFields>
  <rowFields count="1">
    <field x="10"/>
  </rowFields>
  <rowItems count="13">
    <i>
      <x/>
    </i>
    <i>
      <x v="1"/>
    </i>
    <i>
      <x v="2"/>
    </i>
    <i>
      <x v="3"/>
    </i>
    <i>
      <x v="4"/>
    </i>
    <i>
      <x v="5"/>
    </i>
    <i>
      <x v="6"/>
    </i>
    <i>
      <x v="7"/>
    </i>
    <i>
      <x v="8"/>
    </i>
    <i>
      <x v="9"/>
    </i>
    <i>
      <x v="10"/>
    </i>
    <i>
      <x v="11"/>
    </i>
    <i t="grand">
      <x/>
    </i>
  </rowItems>
  <colItems count="1">
    <i/>
  </colItems>
  <dataFields count="1">
    <dataField name="Sum of QTY  Produced" fld="2" baseField="0" baseItem="0"/>
  </dataFields>
  <formats count="24">
    <format dxfId="3198">
      <pivotArea type="all" dataOnly="0" outline="0" fieldPosition="0"/>
    </format>
    <format dxfId="3197">
      <pivotArea outline="0" collapsedLevelsAreSubtotals="1" fieldPosition="0"/>
    </format>
    <format dxfId="3196">
      <pivotArea field="10" type="button" dataOnly="0" labelOnly="1" outline="0" axis="axisRow" fieldPosition="0"/>
    </format>
    <format dxfId="3195">
      <pivotArea dataOnly="0" labelOnly="1" fieldPosition="0">
        <references count="1">
          <reference field="10" count="0"/>
        </references>
      </pivotArea>
    </format>
    <format dxfId="3194">
      <pivotArea dataOnly="0" labelOnly="1" grandRow="1" outline="0" fieldPosition="0"/>
    </format>
    <format dxfId="3193">
      <pivotArea dataOnly="0" labelOnly="1" outline="0" axis="axisValues" fieldPosition="0"/>
    </format>
    <format dxfId="3192">
      <pivotArea type="all" dataOnly="0" outline="0" fieldPosition="0"/>
    </format>
    <format dxfId="3191">
      <pivotArea outline="0" collapsedLevelsAreSubtotals="1" fieldPosition="0"/>
    </format>
    <format dxfId="3190">
      <pivotArea field="10" type="button" dataOnly="0" labelOnly="1" outline="0" axis="axisRow" fieldPosition="0"/>
    </format>
    <format dxfId="3189">
      <pivotArea dataOnly="0" labelOnly="1" fieldPosition="0">
        <references count="1">
          <reference field="10" count="0"/>
        </references>
      </pivotArea>
    </format>
    <format dxfId="3188">
      <pivotArea dataOnly="0" labelOnly="1" grandRow="1" outline="0" fieldPosition="0"/>
    </format>
    <format dxfId="3187">
      <pivotArea dataOnly="0" labelOnly="1" outline="0" axis="axisValues" fieldPosition="0"/>
    </format>
    <format dxfId="3186">
      <pivotArea type="all" dataOnly="0" outline="0" fieldPosition="0"/>
    </format>
    <format dxfId="3185">
      <pivotArea outline="0" collapsedLevelsAreSubtotals="1" fieldPosition="0"/>
    </format>
    <format dxfId="3184">
      <pivotArea field="10" type="button" dataOnly="0" labelOnly="1" outline="0" axis="axisRow" fieldPosition="0"/>
    </format>
    <format dxfId="3183">
      <pivotArea dataOnly="0" labelOnly="1" fieldPosition="0">
        <references count="1">
          <reference field="10" count="0"/>
        </references>
      </pivotArea>
    </format>
    <format dxfId="3182">
      <pivotArea dataOnly="0" labelOnly="1" grandRow="1" outline="0" fieldPosition="0"/>
    </format>
    <format dxfId="3181">
      <pivotArea dataOnly="0" labelOnly="1" outline="0" axis="axisValues" fieldPosition="0"/>
    </format>
    <format dxfId="3180">
      <pivotArea type="all" dataOnly="0" outline="0" fieldPosition="0"/>
    </format>
    <format dxfId="3179">
      <pivotArea outline="0" collapsedLevelsAreSubtotals="1" fieldPosition="0"/>
    </format>
    <format dxfId="3178">
      <pivotArea field="10" type="button" dataOnly="0" labelOnly="1" outline="0" axis="axisRow" fieldPosition="0"/>
    </format>
    <format dxfId="3177">
      <pivotArea dataOnly="0" labelOnly="1" fieldPosition="0">
        <references count="1">
          <reference field="10" count="0"/>
        </references>
      </pivotArea>
    </format>
    <format dxfId="3176">
      <pivotArea dataOnly="0" labelOnly="1" grandRow="1" outline="0" fieldPosition="0"/>
    </format>
    <format dxfId="3175">
      <pivotArea dataOnly="0" labelOnly="1" outline="0" axis="axisValues" fieldPosition="0"/>
    </format>
  </format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F7CF06C-CC3D-4691-BF67-8A282284F434}"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1:A32" firstHeaderRow="1" firstDataRow="1" firstDataCol="0"/>
  <pivotFields count="11">
    <pivotField showAll="0"/>
    <pivotField showAll="0"/>
    <pivotField showAll="0"/>
    <pivotField showAll="0"/>
    <pivotField showAll="0"/>
    <pivotField showAll="0"/>
    <pivotField dataField="1" showAll="0"/>
    <pivotField showAll="0"/>
    <pivotField showAll="0"/>
    <pivotField showAll="0"/>
    <pivotField showAll="0"/>
  </pivotFields>
  <rowItems count="1">
    <i/>
  </rowItems>
  <colItems count="1">
    <i/>
  </colItems>
  <dataFields count="1">
    <dataField name="Sum of Defect Count" fld="6" baseField="0" baseItem="0"/>
  </dataFields>
  <formats count="12">
    <format dxfId="3210">
      <pivotArea type="all" dataOnly="0" outline="0" fieldPosition="0"/>
    </format>
    <format dxfId="3209">
      <pivotArea outline="0" collapsedLevelsAreSubtotals="1" fieldPosition="0"/>
    </format>
    <format dxfId="3208">
      <pivotArea dataOnly="0" labelOnly="1" outline="0" axis="axisValues" fieldPosition="0"/>
    </format>
    <format dxfId="3207">
      <pivotArea type="all" dataOnly="0" outline="0" fieldPosition="0"/>
    </format>
    <format dxfId="3206">
      <pivotArea outline="0" collapsedLevelsAreSubtotals="1" fieldPosition="0"/>
    </format>
    <format dxfId="3205">
      <pivotArea dataOnly="0" labelOnly="1" outline="0" axis="axisValues" fieldPosition="0"/>
    </format>
    <format dxfId="3204">
      <pivotArea type="all" dataOnly="0" outline="0" fieldPosition="0"/>
    </format>
    <format dxfId="3203">
      <pivotArea outline="0" collapsedLevelsAreSubtotals="1" fieldPosition="0"/>
    </format>
    <format dxfId="3202">
      <pivotArea dataOnly="0" labelOnly="1" outline="0" axis="axisValues" fieldPosition="0"/>
    </format>
    <format dxfId="3201">
      <pivotArea type="all" dataOnly="0" outline="0" fieldPosition="0"/>
    </format>
    <format dxfId="3200">
      <pivotArea outline="0" collapsedLevelsAreSubtotals="1" fieldPosition="0"/>
    </format>
    <format dxfId="319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ft" xr10:uid="{0C138992-20FA-4AB6-BE0B-EE986CBE5C96}" sourceName="Shift">
  <pivotTables>
    <pivotTable tabId="2" name="PivotTable1"/>
    <pivotTable tabId="2" name="PivotTable2"/>
    <pivotTable tabId="2" name="PivotTable3"/>
    <pivotTable tabId="2" name="PivotTable4"/>
    <pivotTable tabId="2" name="PivotTable5"/>
    <pivotTable tabId="2" name="PivotTable7"/>
    <pivotTable tabId="2" name="PivotTable8"/>
  </pivotTables>
  <data>
    <tabular pivotCacheId="230338577">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chine_Used" xr10:uid="{2A2E27B2-4397-42B0-A130-58C876B5AF03}" sourceName="Machine Used">
  <pivotTables>
    <pivotTable tabId="2" name="PivotTable1"/>
    <pivotTable tabId="2" name="PivotTable2"/>
    <pivotTable tabId="2" name="PivotTable3"/>
    <pivotTable tabId="2" name="PivotTable4"/>
    <pivotTable tabId="2" name="PivotTable5"/>
    <pivotTable tabId="2" name="PivotTable7"/>
    <pivotTable tabId="2" name="PivotTable8"/>
  </pivotTables>
  <data>
    <tabular pivotCacheId="230338577">
      <items count="4">
        <i x="2" s="1"/>
        <i x="0"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fect_Type" xr10:uid="{34379E14-5588-4882-9874-FA089B75E24D}" sourceName="Defect Type">
  <pivotTables>
    <pivotTable tabId="2" name="PivotTable1"/>
    <pivotTable tabId="2" name="PivotTable2"/>
    <pivotTable tabId="2" name="PivotTable3"/>
    <pivotTable tabId="2" name="PivotTable4"/>
    <pivotTable tabId="2" name="PivotTable5"/>
    <pivotTable tabId="2" name="PivotTable7"/>
    <pivotTable tabId="2" name="PivotTable8"/>
  </pivotTables>
  <data>
    <tabular pivotCacheId="230338577">
      <items count="4">
        <i x="2" s="1"/>
        <i x="1" s="1"/>
        <i x="0"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pplier" xr10:uid="{1A2DEBE2-51ED-482B-BF24-FC917B3AE5B3}" sourceName="Supplier">
  <pivotTables>
    <pivotTable tabId="2" name="PivotTable1"/>
    <pivotTable tabId="2" name="PivotTable2"/>
    <pivotTable tabId="2" name="PivotTable3"/>
    <pivotTable tabId="2" name="PivotTable4"/>
    <pivotTable tabId="2" name="PivotTable5"/>
    <pivotTable tabId="2" name="PivotTable7"/>
    <pivotTable tabId="2" name="PivotTable8"/>
  </pivotTables>
  <data>
    <tabular pivotCacheId="230338577">
      <items count="4">
        <i x="0" s="1"/>
        <i x="1" s="1"/>
        <i x="3"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hift" xr10:uid="{36BE3A63-651F-454E-83E1-3CC32DFC6204}" cache="Slicer_Shift" caption="Shift" columnCount="3" style="SlicerStyleOther2" rowHeight="223200"/>
  <slicer name="Machine Used" xr10:uid="{32498722-94A9-4146-80FA-7D32EE6609D5}" cache="Slicer_Machine_Used" caption="Machine Used" columnCount="4" style="SlicerStyleLight3" rowHeight="223200"/>
  <slicer name="Defect Type" xr10:uid="{A29418A5-0797-42DA-AB50-E14047517B5D}" cache="Slicer_Defect_Type" caption="Defect Type" columnCount="4" style="SlicerStyleOther2" rowHeight="223200"/>
  <slicer name="Supplier" xr10:uid="{F49C87CF-6E92-40C9-BFEF-EA871B17813A}" cache="Slicer_Supplier" caption="Supplier" style="SlicerStyleOther2" rowHeight="468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3F90C67-DDE5-472D-BD23-C222433F2FBB}" name="Table1" displayName="Table1" ref="A2:K802" totalsRowShown="0" headerRowDxfId="2925" dataDxfId="3224" headerRowBorderDxfId="3225" tableBorderDxfId="3223" totalsRowBorderDxfId="3222">
  <autoFilter ref="A2:K802" xr:uid="{83F90C67-DDE5-472D-BD23-C222433F2FBB}"/>
  <tableColumns count="11">
    <tableColumn id="1" xr3:uid="{C29B5F6B-B2FB-490C-B8D7-7A18B72AC391}" name="Product Name" dataDxfId="3221"/>
    <tableColumn id="2" xr3:uid="{0FD2E48A-814E-4101-B878-D56952EAA857}" name="Production Date" dataDxfId="3220"/>
    <tableColumn id="3" xr3:uid="{7981B62A-F3D9-4177-86E0-83E4D43AEFF0}" name="Quantity Produced" dataDxfId="3219"/>
    <tableColumn id="4" xr3:uid="{230E2DE1-C226-415B-968E-6BBD9A618347}" name="Shift" dataDxfId="3218"/>
    <tableColumn id="5" xr3:uid="{5F7FE923-79A7-422D-8BDD-24F918DDA80A}" name="Machine Used" dataDxfId="3217"/>
    <tableColumn id="6" xr3:uid="{29240CA8-FE9F-4EEC-A325-BCCF9CA474F3}" name="Defect Type" dataDxfId="3216"/>
    <tableColumn id="7" xr3:uid="{8B230B38-5FE5-47C6-A870-DDC4A35DAA72}" name="Defect Count" dataDxfId="3215"/>
    <tableColumn id="8" xr3:uid="{6413B63E-9A11-4E3C-A31B-6153D362B8C3}" name="Downtime Hours" dataDxfId="3214"/>
    <tableColumn id="9" xr3:uid="{3A772923-8275-45F1-9CE4-610FD744C469}" name="Supplier" dataDxfId="3213"/>
    <tableColumn id="10" xr3:uid="{676FF8E2-A752-4EAE-B634-4DC70474CCE9}" name="Delivery Delay Days" dataDxfId="3212"/>
    <tableColumn id="11" xr3:uid="{C9EE321F-4F1F-433E-9B8E-DE0F996482FB}" name="Monthname" dataDxfId="3211">
      <calculatedColumnFormula>TEXT(B3,"mmm")</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Custom 2">
      <a:dk1>
        <a:sysClr val="windowText" lastClr="000000"/>
      </a:dk1>
      <a:lt1>
        <a:sysClr val="window" lastClr="FFFFFF"/>
      </a:lt1>
      <a:dk2>
        <a:srgbClr val="323232"/>
      </a:dk2>
      <a:lt2>
        <a:srgbClr val="E3DED1"/>
      </a:lt2>
      <a:accent1>
        <a:srgbClr val="F07F09"/>
      </a:accent1>
      <a:accent2>
        <a:srgbClr val="FF0000"/>
      </a:accent2>
      <a:accent3>
        <a:srgbClr val="1B587C"/>
      </a:accent3>
      <a:accent4>
        <a:srgbClr val="4E8542"/>
      </a:accent4>
      <a:accent5>
        <a:srgbClr val="604878"/>
      </a:accent5>
      <a:accent6>
        <a:srgbClr val="C19859"/>
      </a:accent6>
      <a:hlink>
        <a:srgbClr val="6B9F25"/>
      </a:hlink>
      <a:folHlink>
        <a:srgbClr val="B26B02"/>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802"/>
  <sheetViews>
    <sheetView zoomScaleNormal="100" workbookViewId="0">
      <selection activeCell="B21" sqref="B21"/>
    </sheetView>
  </sheetViews>
  <sheetFormatPr defaultRowHeight="13.8" x14ac:dyDescent="0.25"/>
  <cols>
    <col min="1" max="1" width="23.6640625" style="2" customWidth="1"/>
    <col min="2" max="2" width="26.33203125" style="5" customWidth="1"/>
    <col min="3" max="3" width="20.44140625" style="2" customWidth="1"/>
    <col min="4" max="4" width="10.109375" style="2" customWidth="1"/>
    <col min="5" max="5" width="22.5546875" style="2" customWidth="1"/>
    <col min="6" max="6" width="20" style="2" customWidth="1"/>
    <col min="7" max="7" width="21.44140625" style="2" customWidth="1"/>
    <col min="8" max="8" width="25.21875" style="2" customWidth="1"/>
    <col min="9" max="9" width="20.21875" style="2" customWidth="1"/>
    <col min="10" max="10" width="32.77734375" style="2" customWidth="1"/>
    <col min="11" max="11" width="18.77734375" style="6" customWidth="1"/>
    <col min="12" max="16384" width="8.88671875" style="2"/>
  </cols>
  <sheetData>
    <row r="1" spans="1:11" s="3" customFormat="1" ht="47.4" customHeight="1" x14ac:dyDescent="0.3">
      <c r="A1" s="41" t="s">
        <v>355</v>
      </c>
      <c r="B1" s="42"/>
      <c r="C1" s="42"/>
      <c r="D1" s="42"/>
      <c r="E1" s="42"/>
      <c r="F1" s="42"/>
      <c r="G1" s="42"/>
      <c r="H1" s="42"/>
      <c r="I1" s="42"/>
      <c r="J1" s="42"/>
      <c r="K1" s="42"/>
    </row>
    <row r="2" spans="1:11" s="47" customFormat="1" ht="37.799999999999997" customHeight="1" x14ac:dyDescent="0.3">
      <c r="A2" s="43" t="s">
        <v>0</v>
      </c>
      <c r="B2" s="44" t="s">
        <v>1</v>
      </c>
      <c r="C2" s="45" t="s">
        <v>2</v>
      </c>
      <c r="D2" s="45" t="s">
        <v>3</v>
      </c>
      <c r="E2" s="45" t="s">
        <v>4</v>
      </c>
      <c r="F2" s="45" t="s">
        <v>5</v>
      </c>
      <c r="G2" s="45" t="s">
        <v>6</v>
      </c>
      <c r="H2" s="45" t="s">
        <v>7</v>
      </c>
      <c r="I2" s="45" t="s">
        <v>8</v>
      </c>
      <c r="J2" s="45" t="s">
        <v>9</v>
      </c>
      <c r="K2" s="46" t="s">
        <v>368</v>
      </c>
    </row>
    <row r="3" spans="1:11" x14ac:dyDescent="0.25">
      <c r="A3" s="16" t="s">
        <v>10</v>
      </c>
      <c r="B3" s="1" t="s">
        <v>14</v>
      </c>
      <c r="C3" s="1">
        <v>1372</v>
      </c>
      <c r="D3" s="1" t="s">
        <v>340</v>
      </c>
      <c r="E3" s="1" t="s">
        <v>343</v>
      </c>
      <c r="F3" s="1" t="s">
        <v>347</v>
      </c>
      <c r="G3" s="1">
        <v>8</v>
      </c>
      <c r="H3" s="1">
        <v>8</v>
      </c>
      <c r="I3" s="1" t="s">
        <v>351</v>
      </c>
      <c r="J3" s="1">
        <v>1</v>
      </c>
      <c r="K3" s="17" t="str">
        <f>TEXT(B3,"mmm")</f>
        <v>Mar</v>
      </c>
    </row>
    <row r="4" spans="1:11" x14ac:dyDescent="0.25">
      <c r="A4" s="16" t="s">
        <v>11</v>
      </c>
      <c r="B4" s="1" t="s">
        <v>15</v>
      </c>
      <c r="C4" s="1">
        <v>1796</v>
      </c>
      <c r="D4" s="1" t="s">
        <v>341</v>
      </c>
      <c r="E4" s="1" t="s">
        <v>344</v>
      </c>
      <c r="F4" s="1" t="s">
        <v>348</v>
      </c>
      <c r="G4" s="1">
        <v>8</v>
      </c>
      <c r="H4" s="1">
        <v>9</v>
      </c>
      <c r="I4" s="1" t="s">
        <v>352</v>
      </c>
      <c r="J4" s="1">
        <v>4</v>
      </c>
      <c r="K4" s="17" t="str">
        <f t="shared" ref="K4:K67" si="0">TEXT(B4,"mmm")</f>
        <v>Oct</v>
      </c>
    </row>
    <row r="5" spans="1:11" x14ac:dyDescent="0.25">
      <c r="A5" s="16" t="s">
        <v>12</v>
      </c>
      <c r="B5" s="1" t="s">
        <v>16</v>
      </c>
      <c r="C5" s="1">
        <v>561</v>
      </c>
      <c r="D5" s="1" t="s">
        <v>340</v>
      </c>
      <c r="E5" s="1" t="s">
        <v>343</v>
      </c>
      <c r="F5" s="1" t="s">
        <v>347</v>
      </c>
      <c r="G5" s="1">
        <v>3</v>
      </c>
      <c r="H5" s="1">
        <v>8</v>
      </c>
      <c r="I5" s="1" t="s">
        <v>352</v>
      </c>
      <c r="J5" s="1">
        <v>3</v>
      </c>
      <c r="K5" s="17" t="str">
        <f t="shared" si="0"/>
        <v>Jan</v>
      </c>
    </row>
    <row r="6" spans="1:11" x14ac:dyDescent="0.25">
      <c r="A6" s="16" t="s">
        <v>10</v>
      </c>
      <c r="B6" s="4" t="s">
        <v>17</v>
      </c>
      <c r="C6" s="1">
        <v>1095</v>
      </c>
      <c r="D6" s="1" t="s">
        <v>340</v>
      </c>
      <c r="E6" s="1" t="s">
        <v>345</v>
      </c>
      <c r="F6" s="1" t="s">
        <v>349</v>
      </c>
      <c r="G6" s="1">
        <v>34</v>
      </c>
      <c r="H6" s="1">
        <v>9</v>
      </c>
      <c r="I6" s="1" t="s">
        <v>351</v>
      </c>
      <c r="J6" s="1">
        <v>1</v>
      </c>
      <c r="K6" s="17" t="str">
        <f t="shared" si="0"/>
        <v>Jun</v>
      </c>
    </row>
    <row r="7" spans="1:11" x14ac:dyDescent="0.25">
      <c r="A7" s="16" t="s">
        <v>10</v>
      </c>
      <c r="B7" s="4" t="s">
        <v>18</v>
      </c>
      <c r="C7" s="1">
        <v>1228</v>
      </c>
      <c r="D7" s="1" t="s">
        <v>342</v>
      </c>
      <c r="E7" s="1" t="s">
        <v>346</v>
      </c>
      <c r="F7" s="1" t="s">
        <v>349</v>
      </c>
      <c r="G7" s="1">
        <v>16</v>
      </c>
      <c r="H7" s="1">
        <v>10</v>
      </c>
      <c r="I7" s="1" t="s">
        <v>353</v>
      </c>
      <c r="J7" s="1">
        <v>0</v>
      </c>
      <c r="K7" s="17" t="str">
        <f t="shared" si="0"/>
        <v>Jul</v>
      </c>
    </row>
    <row r="8" spans="1:11" x14ac:dyDescent="0.25">
      <c r="A8" s="16" t="s">
        <v>11</v>
      </c>
      <c r="B8" s="1" t="s">
        <v>19</v>
      </c>
      <c r="C8" s="1">
        <v>1865</v>
      </c>
      <c r="D8" s="1" t="s">
        <v>340</v>
      </c>
      <c r="E8" s="1" t="s">
        <v>345</v>
      </c>
      <c r="F8" s="1" t="s">
        <v>350</v>
      </c>
      <c r="G8" s="1">
        <v>33</v>
      </c>
      <c r="H8" s="1">
        <v>2</v>
      </c>
      <c r="I8" s="1" t="s">
        <v>351</v>
      </c>
      <c r="J8" s="1">
        <v>0</v>
      </c>
      <c r="K8" s="17" t="str">
        <f t="shared" si="0"/>
        <v>Sep</v>
      </c>
    </row>
    <row r="9" spans="1:11" x14ac:dyDescent="0.25">
      <c r="A9" s="16" t="s">
        <v>12</v>
      </c>
      <c r="B9" s="1" t="s">
        <v>20</v>
      </c>
      <c r="C9" s="1">
        <v>896</v>
      </c>
      <c r="D9" s="1" t="s">
        <v>341</v>
      </c>
      <c r="E9" s="1" t="s">
        <v>344</v>
      </c>
      <c r="F9" s="1" t="s">
        <v>348</v>
      </c>
      <c r="G9" s="1">
        <v>23</v>
      </c>
      <c r="H9" s="1">
        <v>10</v>
      </c>
      <c r="I9" s="1" t="s">
        <v>351</v>
      </c>
      <c r="J9" s="1">
        <v>3</v>
      </c>
      <c r="K9" s="17" t="str">
        <f t="shared" si="0"/>
        <v>Apr</v>
      </c>
    </row>
    <row r="10" spans="1:11" x14ac:dyDescent="0.25">
      <c r="A10" s="16" t="s">
        <v>12</v>
      </c>
      <c r="B10" s="1" t="s">
        <v>21</v>
      </c>
      <c r="C10" s="1">
        <v>1198</v>
      </c>
      <c r="D10" s="1" t="s">
        <v>341</v>
      </c>
      <c r="E10" s="1" t="s">
        <v>345</v>
      </c>
      <c r="F10" s="1" t="s">
        <v>350</v>
      </c>
      <c r="G10" s="1">
        <v>31</v>
      </c>
      <c r="H10" s="1">
        <v>4</v>
      </c>
      <c r="I10" s="1" t="s">
        <v>352</v>
      </c>
      <c r="J10" s="1">
        <v>3</v>
      </c>
      <c r="K10" s="17" t="str">
        <f t="shared" si="0"/>
        <v>Apr</v>
      </c>
    </row>
    <row r="11" spans="1:11" x14ac:dyDescent="0.25">
      <c r="A11" s="16" t="s">
        <v>10</v>
      </c>
      <c r="B11" s="4" t="s">
        <v>22</v>
      </c>
      <c r="C11" s="1">
        <v>1542</v>
      </c>
      <c r="D11" s="1" t="s">
        <v>342</v>
      </c>
      <c r="E11" s="1" t="s">
        <v>346</v>
      </c>
      <c r="F11" s="1" t="s">
        <v>349</v>
      </c>
      <c r="G11" s="1">
        <v>0</v>
      </c>
      <c r="H11" s="1">
        <v>7</v>
      </c>
      <c r="I11" s="1" t="s">
        <v>351</v>
      </c>
      <c r="J11" s="1">
        <v>5</v>
      </c>
      <c r="K11" s="17" t="str">
        <f t="shared" si="0"/>
        <v>Jul</v>
      </c>
    </row>
    <row r="12" spans="1:11" x14ac:dyDescent="0.25">
      <c r="A12" s="16" t="s">
        <v>13</v>
      </c>
      <c r="B12" s="1" t="s">
        <v>23</v>
      </c>
      <c r="C12" s="1">
        <v>676</v>
      </c>
      <c r="D12" s="1" t="s">
        <v>341</v>
      </c>
      <c r="E12" s="1" t="s">
        <v>345</v>
      </c>
      <c r="F12" s="1" t="s">
        <v>347</v>
      </c>
      <c r="G12" s="1">
        <v>7</v>
      </c>
      <c r="H12" s="1">
        <v>7</v>
      </c>
      <c r="I12" s="1" t="s">
        <v>353</v>
      </c>
      <c r="J12" s="1">
        <v>2</v>
      </c>
      <c r="K12" s="17" t="str">
        <f t="shared" si="0"/>
        <v>Mar</v>
      </c>
    </row>
    <row r="13" spans="1:11" x14ac:dyDescent="0.25">
      <c r="A13" s="16" t="s">
        <v>10</v>
      </c>
      <c r="B13" s="1" t="s">
        <v>24</v>
      </c>
      <c r="C13" s="1">
        <v>895</v>
      </c>
      <c r="D13" s="1" t="s">
        <v>341</v>
      </c>
      <c r="E13" s="1" t="s">
        <v>344</v>
      </c>
      <c r="F13" s="1" t="s">
        <v>350</v>
      </c>
      <c r="G13" s="1">
        <v>44</v>
      </c>
      <c r="H13" s="1">
        <v>3</v>
      </c>
      <c r="I13" s="1" t="s">
        <v>351</v>
      </c>
      <c r="J13" s="1">
        <v>1</v>
      </c>
      <c r="K13" s="17" t="str">
        <f t="shared" si="0"/>
        <v>Aug</v>
      </c>
    </row>
    <row r="14" spans="1:11" x14ac:dyDescent="0.25">
      <c r="A14" s="16" t="s">
        <v>10</v>
      </c>
      <c r="B14" s="1" t="s">
        <v>25</v>
      </c>
      <c r="C14" s="1">
        <v>944</v>
      </c>
      <c r="D14" s="1" t="s">
        <v>341</v>
      </c>
      <c r="E14" s="1" t="s">
        <v>343</v>
      </c>
      <c r="F14" s="1" t="s">
        <v>350</v>
      </c>
      <c r="G14" s="1">
        <v>22</v>
      </c>
      <c r="H14" s="1">
        <v>10</v>
      </c>
      <c r="I14" s="1" t="s">
        <v>353</v>
      </c>
      <c r="J14" s="1">
        <v>3</v>
      </c>
      <c r="K14" s="17" t="str">
        <f t="shared" si="0"/>
        <v>Nov</v>
      </c>
    </row>
    <row r="15" spans="1:11" x14ac:dyDescent="0.25">
      <c r="A15" s="16" t="s">
        <v>10</v>
      </c>
      <c r="B15" s="1" t="s">
        <v>24</v>
      </c>
      <c r="C15" s="1">
        <v>1756</v>
      </c>
      <c r="D15" s="1" t="s">
        <v>340</v>
      </c>
      <c r="E15" s="1" t="s">
        <v>345</v>
      </c>
      <c r="F15" s="1" t="s">
        <v>347</v>
      </c>
      <c r="G15" s="1">
        <v>46</v>
      </c>
      <c r="H15" s="1">
        <v>10</v>
      </c>
      <c r="I15" s="1" t="s">
        <v>353</v>
      </c>
      <c r="J15" s="1">
        <v>2</v>
      </c>
      <c r="K15" s="17" t="str">
        <f t="shared" si="0"/>
        <v>Aug</v>
      </c>
    </row>
    <row r="16" spans="1:11" x14ac:dyDescent="0.25">
      <c r="A16" s="16" t="s">
        <v>10</v>
      </c>
      <c r="B16" s="1" t="s">
        <v>26</v>
      </c>
      <c r="C16" s="1">
        <v>575</v>
      </c>
      <c r="D16" s="1" t="s">
        <v>340</v>
      </c>
      <c r="E16" s="1" t="s">
        <v>344</v>
      </c>
      <c r="F16" s="1" t="s">
        <v>350</v>
      </c>
      <c r="G16" s="1">
        <v>39</v>
      </c>
      <c r="H16" s="1">
        <v>0</v>
      </c>
      <c r="I16" s="1" t="s">
        <v>352</v>
      </c>
      <c r="J16" s="1">
        <v>5</v>
      </c>
      <c r="K16" s="17" t="str">
        <f t="shared" si="0"/>
        <v>Jun</v>
      </c>
    </row>
    <row r="17" spans="1:11" x14ac:dyDescent="0.25">
      <c r="A17" s="16" t="s">
        <v>11</v>
      </c>
      <c r="B17" s="1" t="s">
        <v>23</v>
      </c>
      <c r="C17" s="1">
        <v>764</v>
      </c>
      <c r="D17" s="1" t="s">
        <v>341</v>
      </c>
      <c r="E17" s="1" t="s">
        <v>344</v>
      </c>
      <c r="F17" s="1" t="s">
        <v>347</v>
      </c>
      <c r="G17" s="1">
        <v>11</v>
      </c>
      <c r="H17" s="1">
        <v>0</v>
      </c>
      <c r="I17" s="1" t="s">
        <v>354</v>
      </c>
      <c r="J17" s="1">
        <v>2</v>
      </c>
      <c r="K17" s="17" t="str">
        <f t="shared" si="0"/>
        <v>Mar</v>
      </c>
    </row>
    <row r="18" spans="1:11" x14ac:dyDescent="0.25">
      <c r="A18" s="16" t="s">
        <v>12</v>
      </c>
      <c r="B18" s="1" t="s">
        <v>27</v>
      </c>
      <c r="C18" s="1">
        <v>954</v>
      </c>
      <c r="D18" s="1" t="s">
        <v>342</v>
      </c>
      <c r="E18" s="1" t="s">
        <v>346</v>
      </c>
      <c r="F18" s="1" t="s">
        <v>348</v>
      </c>
      <c r="G18" s="1">
        <v>11</v>
      </c>
      <c r="H18" s="1">
        <v>3</v>
      </c>
      <c r="I18" s="1" t="s">
        <v>354</v>
      </c>
      <c r="J18" s="1">
        <v>3</v>
      </c>
      <c r="K18" s="17" t="str">
        <f t="shared" si="0"/>
        <v>Aug</v>
      </c>
    </row>
    <row r="19" spans="1:11" x14ac:dyDescent="0.25">
      <c r="A19" s="16" t="s">
        <v>11</v>
      </c>
      <c r="B19" s="1" t="s">
        <v>28</v>
      </c>
      <c r="C19" s="1">
        <v>1217</v>
      </c>
      <c r="D19" s="1" t="s">
        <v>340</v>
      </c>
      <c r="E19" s="1" t="s">
        <v>346</v>
      </c>
      <c r="F19" s="1" t="s">
        <v>347</v>
      </c>
      <c r="G19" s="1">
        <v>45</v>
      </c>
      <c r="H19" s="1">
        <v>5</v>
      </c>
      <c r="I19" s="1" t="s">
        <v>352</v>
      </c>
      <c r="J19" s="1">
        <v>0</v>
      </c>
      <c r="K19" s="17" t="str">
        <f t="shared" si="0"/>
        <v>Jun</v>
      </c>
    </row>
    <row r="20" spans="1:11" x14ac:dyDescent="0.25">
      <c r="A20" s="16" t="s">
        <v>11</v>
      </c>
      <c r="B20" s="1" t="s">
        <v>29</v>
      </c>
      <c r="C20" s="1">
        <v>1234</v>
      </c>
      <c r="D20" s="1" t="s">
        <v>342</v>
      </c>
      <c r="E20" s="1" t="s">
        <v>345</v>
      </c>
      <c r="F20" s="1" t="s">
        <v>348</v>
      </c>
      <c r="G20" s="1">
        <v>46</v>
      </c>
      <c r="H20" s="1">
        <v>7</v>
      </c>
      <c r="I20" s="1" t="s">
        <v>351</v>
      </c>
      <c r="J20" s="1">
        <v>1</v>
      </c>
      <c r="K20" s="17" t="str">
        <f t="shared" si="0"/>
        <v>Aug</v>
      </c>
    </row>
    <row r="21" spans="1:11" x14ac:dyDescent="0.25">
      <c r="A21" s="16" t="s">
        <v>11</v>
      </c>
      <c r="B21" s="1" t="s">
        <v>30</v>
      </c>
      <c r="C21" s="1">
        <v>1907</v>
      </c>
      <c r="D21" s="1" t="s">
        <v>341</v>
      </c>
      <c r="E21" s="1" t="s">
        <v>343</v>
      </c>
      <c r="F21" s="1" t="s">
        <v>347</v>
      </c>
      <c r="G21" s="1">
        <v>14</v>
      </c>
      <c r="H21" s="1">
        <v>5</v>
      </c>
      <c r="I21" s="1" t="s">
        <v>352</v>
      </c>
      <c r="J21" s="1">
        <v>1</v>
      </c>
      <c r="K21" s="17" t="str">
        <f t="shared" si="0"/>
        <v>Jul</v>
      </c>
    </row>
    <row r="22" spans="1:11" x14ac:dyDescent="0.25">
      <c r="A22" s="16" t="s">
        <v>10</v>
      </c>
      <c r="B22" s="4" t="s">
        <v>31</v>
      </c>
      <c r="C22" s="1">
        <v>1350</v>
      </c>
      <c r="D22" s="1" t="s">
        <v>341</v>
      </c>
      <c r="E22" s="1" t="s">
        <v>344</v>
      </c>
      <c r="F22" s="1" t="s">
        <v>349</v>
      </c>
      <c r="G22" s="1">
        <v>40</v>
      </c>
      <c r="H22" s="1">
        <v>8</v>
      </c>
      <c r="I22" s="1" t="s">
        <v>353</v>
      </c>
      <c r="J22" s="1">
        <v>0</v>
      </c>
      <c r="K22" s="17" t="str">
        <f t="shared" si="0"/>
        <v>Sep</v>
      </c>
    </row>
    <row r="23" spans="1:11" x14ac:dyDescent="0.25">
      <c r="A23" s="16" t="s">
        <v>13</v>
      </c>
      <c r="B23" s="4" t="s">
        <v>32</v>
      </c>
      <c r="C23" s="1">
        <v>1890</v>
      </c>
      <c r="D23" s="1" t="s">
        <v>340</v>
      </c>
      <c r="E23" s="1" t="s">
        <v>345</v>
      </c>
      <c r="F23" s="1" t="s">
        <v>349</v>
      </c>
      <c r="G23" s="1">
        <v>18</v>
      </c>
      <c r="H23" s="1">
        <v>8</v>
      </c>
      <c r="I23" s="1" t="s">
        <v>354</v>
      </c>
      <c r="J23" s="1">
        <v>3</v>
      </c>
      <c r="K23" s="17" t="str">
        <f t="shared" si="0"/>
        <v>May</v>
      </c>
    </row>
    <row r="24" spans="1:11" x14ac:dyDescent="0.25">
      <c r="A24" s="16" t="s">
        <v>12</v>
      </c>
      <c r="B24" s="1" t="s">
        <v>21</v>
      </c>
      <c r="C24" s="1">
        <v>643</v>
      </c>
      <c r="D24" s="1" t="s">
        <v>341</v>
      </c>
      <c r="E24" s="1" t="s">
        <v>344</v>
      </c>
      <c r="F24" s="1" t="s">
        <v>348</v>
      </c>
      <c r="G24" s="1">
        <v>25</v>
      </c>
      <c r="H24" s="1">
        <v>1</v>
      </c>
      <c r="I24" s="1" t="s">
        <v>352</v>
      </c>
      <c r="J24" s="1">
        <v>1</v>
      </c>
      <c r="K24" s="17" t="str">
        <f t="shared" si="0"/>
        <v>Apr</v>
      </c>
    </row>
    <row r="25" spans="1:11" x14ac:dyDescent="0.25">
      <c r="A25" s="16" t="s">
        <v>13</v>
      </c>
      <c r="B25" s="1" t="s">
        <v>28</v>
      </c>
      <c r="C25" s="1">
        <v>1384</v>
      </c>
      <c r="D25" s="1" t="s">
        <v>340</v>
      </c>
      <c r="E25" s="1" t="s">
        <v>344</v>
      </c>
      <c r="F25" s="1" t="s">
        <v>348</v>
      </c>
      <c r="G25" s="1">
        <v>28</v>
      </c>
      <c r="H25" s="1">
        <v>9</v>
      </c>
      <c r="I25" s="1" t="s">
        <v>351</v>
      </c>
      <c r="J25" s="1">
        <v>3</v>
      </c>
      <c r="K25" s="17" t="str">
        <f t="shared" si="0"/>
        <v>Jun</v>
      </c>
    </row>
    <row r="26" spans="1:11" x14ac:dyDescent="0.25">
      <c r="A26" s="16" t="s">
        <v>11</v>
      </c>
      <c r="B26" s="4" t="s">
        <v>33</v>
      </c>
      <c r="C26" s="1">
        <v>1592</v>
      </c>
      <c r="D26" s="1" t="s">
        <v>341</v>
      </c>
      <c r="E26" s="1" t="s">
        <v>343</v>
      </c>
      <c r="F26" s="1" t="s">
        <v>349</v>
      </c>
      <c r="G26" s="1">
        <v>21</v>
      </c>
      <c r="H26" s="1">
        <v>0</v>
      </c>
      <c r="I26" s="1" t="s">
        <v>352</v>
      </c>
      <c r="J26" s="1">
        <v>5</v>
      </c>
      <c r="K26" s="17" t="str">
        <f t="shared" si="0"/>
        <v>Dec</v>
      </c>
    </row>
    <row r="27" spans="1:11" x14ac:dyDescent="0.25">
      <c r="A27" s="16" t="s">
        <v>11</v>
      </c>
      <c r="B27" s="1" t="s">
        <v>34</v>
      </c>
      <c r="C27" s="1">
        <v>1622</v>
      </c>
      <c r="D27" s="1" t="s">
        <v>341</v>
      </c>
      <c r="E27" s="1" t="s">
        <v>343</v>
      </c>
      <c r="F27" s="1" t="s">
        <v>348</v>
      </c>
      <c r="G27" s="1">
        <v>39</v>
      </c>
      <c r="H27" s="1">
        <v>1</v>
      </c>
      <c r="I27" s="1" t="s">
        <v>354</v>
      </c>
      <c r="J27" s="1">
        <v>3</v>
      </c>
      <c r="K27" s="17" t="str">
        <f t="shared" si="0"/>
        <v>Apr</v>
      </c>
    </row>
    <row r="28" spans="1:11" x14ac:dyDescent="0.25">
      <c r="A28" s="16" t="s">
        <v>13</v>
      </c>
      <c r="B28" s="1" t="s">
        <v>24</v>
      </c>
      <c r="C28" s="1">
        <v>895</v>
      </c>
      <c r="D28" s="1" t="s">
        <v>340</v>
      </c>
      <c r="E28" s="1" t="s">
        <v>345</v>
      </c>
      <c r="F28" s="1" t="s">
        <v>347</v>
      </c>
      <c r="G28" s="1">
        <v>20</v>
      </c>
      <c r="H28" s="1">
        <v>4</v>
      </c>
      <c r="I28" s="1" t="s">
        <v>352</v>
      </c>
      <c r="J28" s="1">
        <v>2</v>
      </c>
      <c r="K28" s="17" t="str">
        <f t="shared" si="0"/>
        <v>Aug</v>
      </c>
    </row>
    <row r="29" spans="1:11" x14ac:dyDescent="0.25">
      <c r="A29" s="16" t="s">
        <v>13</v>
      </c>
      <c r="B29" s="1" t="s">
        <v>35</v>
      </c>
      <c r="C29" s="1">
        <v>1548</v>
      </c>
      <c r="D29" s="1" t="s">
        <v>340</v>
      </c>
      <c r="E29" s="1" t="s">
        <v>343</v>
      </c>
      <c r="F29" s="1" t="s">
        <v>347</v>
      </c>
      <c r="G29" s="1">
        <v>50</v>
      </c>
      <c r="H29" s="1">
        <v>3</v>
      </c>
      <c r="I29" s="1" t="s">
        <v>352</v>
      </c>
      <c r="J29" s="1">
        <v>0</v>
      </c>
      <c r="K29" s="17" t="str">
        <f t="shared" si="0"/>
        <v>May</v>
      </c>
    </row>
    <row r="30" spans="1:11" x14ac:dyDescent="0.25">
      <c r="A30" s="16" t="s">
        <v>13</v>
      </c>
      <c r="B30" s="4" t="s">
        <v>36</v>
      </c>
      <c r="C30" s="1">
        <v>1447</v>
      </c>
      <c r="D30" s="1" t="s">
        <v>340</v>
      </c>
      <c r="E30" s="1" t="s">
        <v>343</v>
      </c>
      <c r="F30" s="1" t="s">
        <v>349</v>
      </c>
      <c r="G30" s="1">
        <v>37</v>
      </c>
      <c r="H30" s="1">
        <v>3</v>
      </c>
      <c r="I30" s="1" t="s">
        <v>354</v>
      </c>
      <c r="J30" s="1">
        <v>3</v>
      </c>
      <c r="K30" s="17" t="str">
        <f t="shared" si="0"/>
        <v>Jan</v>
      </c>
    </row>
    <row r="31" spans="1:11" x14ac:dyDescent="0.25">
      <c r="A31" s="16" t="s">
        <v>11</v>
      </c>
      <c r="B31" s="1" t="s">
        <v>37</v>
      </c>
      <c r="C31" s="1">
        <v>1390</v>
      </c>
      <c r="D31" s="1" t="s">
        <v>341</v>
      </c>
      <c r="E31" s="1" t="s">
        <v>345</v>
      </c>
      <c r="F31" s="1" t="s">
        <v>350</v>
      </c>
      <c r="G31" s="1">
        <v>19</v>
      </c>
      <c r="H31" s="1">
        <v>8</v>
      </c>
      <c r="I31" s="1" t="s">
        <v>353</v>
      </c>
      <c r="J31" s="1">
        <v>5</v>
      </c>
      <c r="K31" s="17" t="str">
        <f t="shared" si="0"/>
        <v>Aug</v>
      </c>
    </row>
    <row r="32" spans="1:11" x14ac:dyDescent="0.25">
      <c r="A32" s="16" t="s">
        <v>11</v>
      </c>
      <c r="B32" s="1" t="s">
        <v>38</v>
      </c>
      <c r="C32" s="1">
        <v>1992</v>
      </c>
      <c r="D32" s="1" t="s">
        <v>341</v>
      </c>
      <c r="E32" s="1" t="s">
        <v>343</v>
      </c>
      <c r="F32" s="1" t="s">
        <v>347</v>
      </c>
      <c r="G32" s="1">
        <v>28</v>
      </c>
      <c r="H32" s="1">
        <v>10</v>
      </c>
      <c r="I32" s="1" t="s">
        <v>353</v>
      </c>
      <c r="J32" s="1">
        <v>4</v>
      </c>
      <c r="K32" s="17" t="str">
        <f t="shared" si="0"/>
        <v>May</v>
      </c>
    </row>
    <row r="33" spans="1:11" x14ac:dyDescent="0.25">
      <c r="A33" s="16" t="s">
        <v>12</v>
      </c>
      <c r="B33" s="1" t="s">
        <v>39</v>
      </c>
      <c r="C33" s="1">
        <v>1674</v>
      </c>
      <c r="D33" s="1" t="s">
        <v>342</v>
      </c>
      <c r="E33" s="1" t="s">
        <v>346</v>
      </c>
      <c r="F33" s="1" t="s">
        <v>348</v>
      </c>
      <c r="G33" s="1">
        <v>50</v>
      </c>
      <c r="H33" s="1">
        <v>7</v>
      </c>
      <c r="I33" s="1" t="s">
        <v>354</v>
      </c>
      <c r="J33" s="1">
        <v>0</v>
      </c>
      <c r="K33" s="17" t="str">
        <f t="shared" si="0"/>
        <v>Sep</v>
      </c>
    </row>
    <row r="34" spans="1:11" x14ac:dyDescent="0.25">
      <c r="A34" s="16" t="s">
        <v>12</v>
      </c>
      <c r="B34" s="1" t="s">
        <v>40</v>
      </c>
      <c r="C34" s="1">
        <v>1667</v>
      </c>
      <c r="D34" s="1" t="s">
        <v>340</v>
      </c>
      <c r="E34" s="1" t="s">
        <v>344</v>
      </c>
      <c r="F34" s="1" t="s">
        <v>350</v>
      </c>
      <c r="G34" s="1">
        <v>3</v>
      </c>
      <c r="H34" s="1">
        <v>5</v>
      </c>
      <c r="I34" s="1" t="s">
        <v>352</v>
      </c>
      <c r="J34" s="1">
        <v>1</v>
      </c>
      <c r="K34" s="17" t="str">
        <f t="shared" si="0"/>
        <v>Sep</v>
      </c>
    </row>
    <row r="35" spans="1:11" x14ac:dyDescent="0.25">
      <c r="A35" s="16" t="s">
        <v>11</v>
      </c>
      <c r="B35" s="1" t="s">
        <v>41</v>
      </c>
      <c r="C35" s="1">
        <v>1068</v>
      </c>
      <c r="D35" s="1" t="s">
        <v>341</v>
      </c>
      <c r="E35" s="1" t="s">
        <v>344</v>
      </c>
      <c r="F35" s="1" t="s">
        <v>350</v>
      </c>
      <c r="G35" s="1">
        <v>6</v>
      </c>
      <c r="H35" s="1">
        <v>0</v>
      </c>
      <c r="I35" s="1" t="s">
        <v>354</v>
      </c>
      <c r="J35" s="1">
        <v>2</v>
      </c>
      <c r="K35" s="17" t="str">
        <f t="shared" si="0"/>
        <v>Dec</v>
      </c>
    </row>
    <row r="36" spans="1:11" x14ac:dyDescent="0.25">
      <c r="A36" s="16" t="s">
        <v>13</v>
      </c>
      <c r="B36" s="1" t="s">
        <v>42</v>
      </c>
      <c r="C36" s="1">
        <v>1562</v>
      </c>
      <c r="D36" s="1" t="s">
        <v>341</v>
      </c>
      <c r="E36" s="1" t="s">
        <v>344</v>
      </c>
      <c r="F36" s="1" t="s">
        <v>347</v>
      </c>
      <c r="G36" s="1">
        <v>27</v>
      </c>
      <c r="H36" s="1">
        <v>1</v>
      </c>
      <c r="I36" s="1" t="s">
        <v>353</v>
      </c>
      <c r="J36" s="1">
        <v>1</v>
      </c>
      <c r="K36" s="17" t="str">
        <f t="shared" si="0"/>
        <v>Jul</v>
      </c>
    </row>
    <row r="37" spans="1:11" x14ac:dyDescent="0.25">
      <c r="A37" s="16" t="s">
        <v>13</v>
      </c>
      <c r="B37" s="1" t="s">
        <v>43</v>
      </c>
      <c r="C37" s="1">
        <v>608</v>
      </c>
      <c r="D37" s="1" t="s">
        <v>340</v>
      </c>
      <c r="E37" s="1" t="s">
        <v>344</v>
      </c>
      <c r="F37" s="1" t="s">
        <v>347</v>
      </c>
      <c r="G37" s="1">
        <v>27</v>
      </c>
      <c r="H37" s="1">
        <v>5</v>
      </c>
      <c r="I37" s="1" t="s">
        <v>351</v>
      </c>
      <c r="J37" s="1">
        <v>5</v>
      </c>
      <c r="K37" s="17" t="str">
        <f t="shared" si="0"/>
        <v>Jul</v>
      </c>
    </row>
    <row r="38" spans="1:11" x14ac:dyDescent="0.25">
      <c r="A38" s="16" t="s">
        <v>12</v>
      </c>
      <c r="B38" s="1" t="s">
        <v>44</v>
      </c>
      <c r="C38" s="1">
        <v>1565</v>
      </c>
      <c r="D38" s="1" t="s">
        <v>342</v>
      </c>
      <c r="E38" s="1" t="s">
        <v>345</v>
      </c>
      <c r="F38" s="1" t="s">
        <v>350</v>
      </c>
      <c r="G38" s="1">
        <v>3</v>
      </c>
      <c r="H38" s="1">
        <v>10</v>
      </c>
      <c r="I38" s="1" t="s">
        <v>352</v>
      </c>
      <c r="J38" s="1">
        <v>5</v>
      </c>
      <c r="K38" s="17" t="str">
        <f t="shared" si="0"/>
        <v>Dec</v>
      </c>
    </row>
    <row r="39" spans="1:11" x14ac:dyDescent="0.25">
      <c r="A39" s="16" t="s">
        <v>11</v>
      </c>
      <c r="B39" s="1" t="s">
        <v>45</v>
      </c>
      <c r="C39" s="1">
        <v>1709</v>
      </c>
      <c r="D39" s="1" t="s">
        <v>340</v>
      </c>
      <c r="E39" s="1" t="s">
        <v>344</v>
      </c>
      <c r="F39" s="1" t="s">
        <v>350</v>
      </c>
      <c r="G39" s="1">
        <v>21</v>
      </c>
      <c r="H39" s="1">
        <v>1</v>
      </c>
      <c r="I39" s="1" t="s">
        <v>353</v>
      </c>
      <c r="J39" s="1">
        <v>1</v>
      </c>
      <c r="K39" s="17" t="str">
        <f t="shared" si="0"/>
        <v>Mar</v>
      </c>
    </row>
    <row r="40" spans="1:11" x14ac:dyDescent="0.25">
      <c r="A40" s="16" t="s">
        <v>12</v>
      </c>
      <c r="B40" s="4" t="s">
        <v>46</v>
      </c>
      <c r="C40" s="1">
        <v>1434</v>
      </c>
      <c r="D40" s="1" t="s">
        <v>342</v>
      </c>
      <c r="E40" s="1" t="s">
        <v>344</v>
      </c>
      <c r="F40" s="1" t="s">
        <v>349</v>
      </c>
      <c r="G40" s="1">
        <v>11</v>
      </c>
      <c r="H40" s="1">
        <v>9</v>
      </c>
      <c r="I40" s="1" t="s">
        <v>352</v>
      </c>
      <c r="J40" s="1">
        <v>0</v>
      </c>
      <c r="K40" s="17" t="str">
        <f t="shared" si="0"/>
        <v>Aug</v>
      </c>
    </row>
    <row r="41" spans="1:11" x14ac:dyDescent="0.25">
      <c r="A41" s="16" t="s">
        <v>12</v>
      </c>
      <c r="B41" s="1" t="s">
        <v>47</v>
      </c>
      <c r="C41" s="1">
        <v>897</v>
      </c>
      <c r="D41" s="1" t="s">
        <v>341</v>
      </c>
      <c r="E41" s="1" t="s">
        <v>344</v>
      </c>
      <c r="F41" s="1" t="s">
        <v>348</v>
      </c>
      <c r="G41" s="1">
        <v>44</v>
      </c>
      <c r="H41" s="1">
        <v>4</v>
      </c>
      <c r="I41" s="1" t="s">
        <v>354</v>
      </c>
      <c r="J41" s="1">
        <v>1</v>
      </c>
      <c r="K41" s="17" t="str">
        <f t="shared" si="0"/>
        <v>Dec</v>
      </c>
    </row>
    <row r="42" spans="1:11" x14ac:dyDescent="0.25">
      <c r="A42" s="16" t="s">
        <v>10</v>
      </c>
      <c r="B42" s="4" t="s">
        <v>48</v>
      </c>
      <c r="C42" s="1">
        <v>1746</v>
      </c>
      <c r="D42" s="1" t="s">
        <v>342</v>
      </c>
      <c r="E42" s="1" t="s">
        <v>344</v>
      </c>
      <c r="F42" s="1" t="s">
        <v>349</v>
      </c>
      <c r="G42" s="1">
        <v>2</v>
      </c>
      <c r="H42" s="1">
        <v>4</v>
      </c>
      <c r="I42" s="1" t="s">
        <v>351</v>
      </c>
      <c r="J42" s="1">
        <v>3</v>
      </c>
      <c r="K42" s="17" t="str">
        <f t="shared" si="0"/>
        <v>Oct</v>
      </c>
    </row>
    <row r="43" spans="1:11" x14ac:dyDescent="0.25">
      <c r="A43" s="16" t="s">
        <v>10</v>
      </c>
      <c r="B43" s="1" t="s">
        <v>49</v>
      </c>
      <c r="C43" s="1">
        <v>1133</v>
      </c>
      <c r="D43" s="1" t="s">
        <v>341</v>
      </c>
      <c r="E43" s="1" t="s">
        <v>346</v>
      </c>
      <c r="F43" s="1" t="s">
        <v>347</v>
      </c>
      <c r="G43" s="1">
        <v>21</v>
      </c>
      <c r="H43" s="1">
        <v>5</v>
      </c>
      <c r="I43" s="1" t="s">
        <v>354</v>
      </c>
      <c r="J43" s="1">
        <v>1</v>
      </c>
      <c r="K43" s="17" t="str">
        <f t="shared" si="0"/>
        <v>Apr</v>
      </c>
    </row>
    <row r="44" spans="1:11" x14ac:dyDescent="0.25">
      <c r="A44" s="16" t="s">
        <v>10</v>
      </c>
      <c r="B44" s="4" t="s">
        <v>50</v>
      </c>
      <c r="C44" s="1">
        <v>1656</v>
      </c>
      <c r="D44" s="1" t="s">
        <v>340</v>
      </c>
      <c r="E44" s="1" t="s">
        <v>344</v>
      </c>
      <c r="F44" s="1" t="s">
        <v>349</v>
      </c>
      <c r="G44" s="1">
        <v>43</v>
      </c>
      <c r="H44" s="1">
        <v>5</v>
      </c>
      <c r="I44" s="1" t="s">
        <v>351</v>
      </c>
      <c r="J44" s="1">
        <v>2</v>
      </c>
      <c r="K44" s="17" t="str">
        <f t="shared" si="0"/>
        <v>Feb</v>
      </c>
    </row>
    <row r="45" spans="1:11" x14ac:dyDescent="0.25">
      <c r="A45" s="16" t="s">
        <v>13</v>
      </c>
      <c r="B45" s="4" t="s">
        <v>51</v>
      </c>
      <c r="C45" s="1">
        <v>1686</v>
      </c>
      <c r="D45" s="1" t="s">
        <v>340</v>
      </c>
      <c r="E45" s="1" t="s">
        <v>346</v>
      </c>
      <c r="F45" s="1" t="s">
        <v>349</v>
      </c>
      <c r="G45" s="1">
        <v>1</v>
      </c>
      <c r="H45" s="1">
        <v>5</v>
      </c>
      <c r="I45" s="1" t="s">
        <v>352</v>
      </c>
      <c r="J45" s="1">
        <v>2</v>
      </c>
      <c r="K45" s="17" t="str">
        <f t="shared" si="0"/>
        <v>Mar</v>
      </c>
    </row>
    <row r="46" spans="1:11" x14ac:dyDescent="0.25">
      <c r="A46" s="16" t="s">
        <v>11</v>
      </c>
      <c r="B46" s="4" t="s">
        <v>23</v>
      </c>
      <c r="C46" s="1">
        <v>1738</v>
      </c>
      <c r="D46" s="1" t="s">
        <v>340</v>
      </c>
      <c r="E46" s="1" t="s">
        <v>345</v>
      </c>
      <c r="F46" s="1" t="s">
        <v>349</v>
      </c>
      <c r="G46" s="1">
        <v>23</v>
      </c>
      <c r="H46" s="1">
        <v>1</v>
      </c>
      <c r="I46" s="1" t="s">
        <v>352</v>
      </c>
      <c r="J46" s="1">
        <v>4</v>
      </c>
      <c r="K46" s="17" t="str">
        <f t="shared" si="0"/>
        <v>Mar</v>
      </c>
    </row>
    <row r="47" spans="1:11" x14ac:dyDescent="0.25">
      <c r="A47" s="16" t="s">
        <v>11</v>
      </c>
      <c r="B47" s="4" t="s">
        <v>36</v>
      </c>
      <c r="C47" s="1">
        <v>1232</v>
      </c>
      <c r="D47" s="1" t="s">
        <v>342</v>
      </c>
      <c r="E47" s="1" t="s">
        <v>343</v>
      </c>
      <c r="F47" s="1" t="s">
        <v>349</v>
      </c>
      <c r="G47" s="1">
        <v>33</v>
      </c>
      <c r="H47" s="1">
        <v>9</v>
      </c>
      <c r="I47" s="1" t="s">
        <v>354</v>
      </c>
      <c r="J47" s="1">
        <v>2</v>
      </c>
      <c r="K47" s="17" t="str">
        <f t="shared" si="0"/>
        <v>Jan</v>
      </c>
    </row>
    <row r="48" spans="1:11" x14ac:dyDescent="0.25">
      <c r="A48" s="16" t="s">
        <v>11</v>
      </c>
      <c r="B48" s="1" t="s">
        <v>52</v>
      </c>
      <c r="C48" s="1">
        <v>734</v>
      </c>
      <c r="D48" s="1" t="s">
        <v>341</v>
      </c>
      <c r="E48" s="1" t="s">
        <v>344</v>
      </c>
      <c r="F48" s="1" t="s">
        <v>348</v>
      </c>
      <c r="G48" s="1">
        <v>26</v>
      </c>
      <c r="H48" s="1">
        <v>2</v>
      </c>
      <c r="I48" s="1" t="s">
        <v>351</v>
      </c>
      <c r="J48" s="1">
        <v>1</v>
      </c>
      <c r="K48" s="17" t="str">
        <f t="shared" si="0"/>
        <v>Sep</v>
      </c>
    </row>
    <row r="49" spans="1:11" x14ac:dyDescent="0.25">
      <c r="A49" s="16" t="s">
        <v>11</v>
      </c>
      <c r="B49" s="1" t="s">
        <v>29</v>
      </c>
      <c r="C49" s="1">
        <v>1157</v>
      </c>
      <c r="D49" s="1" t="s">
        <v>340</v>
      </c>
      <c r="E49" s="1" t="s">
        <v>343</v>
      </c>
      <c r="F49" s="1" t="s">
        <v>348</v>
      </c>
      <c r="G49" s="1">
        <v>40</v>
      </c>
      <c r="H49" s="1">
        <v>5</v>
      </c>
      <c r="I49" s="1" t="s">
        <v>351</v>
      </c>
      <c r="J49" s="1">
        <v>2</v>
      </c>
      <c r="K49" s="17" t="str">
        <f t="shared" si="0"/>
        <v>Aug</v>
      </c>
    </row>
    <row r="50" spans="1:11" x14ac:dyDescent="0.25">
      <c r="A50" s="16" t="s">
        <v>10</v>
      </c>
      <c r="B50" s="1" t="s">
        <v>53</v>
      </c>
      <c r="C50" s="1">
        <v>1250</v>
      </c>
      <c r="D50" s="1" t="s">
        <v>340</v>
      </c>
      <c r="E50" s="1" t="s">
        <v>343</v>
      </c>
      <c r="F50" s="1" t="s">
        <v>350</v>
      </c>
      <c r="G50" s="1">
        <v>0</v>
      </c>
      <c r="H50" s="1">
        <v>7</v>
      </c>
      <c r="I50" s="1" t="s">
        <v>352</v>
      </c>
      <c r="J50" s="1">
        <v>0</v>
      </c>
      <c r="K50" s="17" t="str">
        <f t="shared" si="0"/>
        <v>Aug</v>
      </c>
    </row>
    <row r="51" spans="1:11" x14ac:dyDescent="0.25">
      <c r="A51" s="16" t="s">
        <v>13</v>
      </c>
      <c r="B51" s="1" t="s">
        <v>54</v>
      </c>
      <c r="C51" s="1">
        <v>1087</v>
      </c>
      <c r="D51" s="1" t="s">
        <v>341</v>
      </c>
      <c r="E51" s="1" t="s">
        <v>345</v>
      </c>
      <c r="F51" s="1" t="s">
        <v>347</v>
      </c>
      <c r="G51" s="1">
        <v>7</v>
      </c>
      <c r="H51" s="1">
        <v>10</v>
      </c>
      <c r="I51" s="1" t="s">
        <v>354</v>
      </c>
      <c r="J51" s="1">
        <v>2</v>
      </c>
      <c r="K51" s="17" t="str">
        <f t="shared" si="0"/>
        <v>May</v>
      </c>
    </row>
    <row r="52" spans="1:11" x14ac:dyDescent="0.25">
      <c r="A52" s="16" t="s">
        <v>13</v>
      </c>
      <c r="B52" s="4" t="s">
        <v>55</v>
      </c>
      <c r="C52" s="1">
        <v>1532</v>
      </c>
      <c r="D52" s="1" t="s">
        <v>340</v>
      </c>
      <c r="E52" s="1" t="s">
        <v>343</v>
      </c>
      <c r="F52" s="1" t="s">
        <v>349</v>
      </c>
      <c r="G52" s="1">
        <v>22</v>
      </c>
      <c r="H52" s="1">
        <v>0</v>
      </c>
      <c r="I52" s="1" t="s">
        <v>351</v>
      </c>
      <c r="J52" s="1">
        <v>3</v>
      </c>
      <c r="K52" s="17" t="str">
        <f t="shared" si="0"/>
        <v>Feb</v>
      </c>
    </row>
    <row r="53" spans="1:11" x14ac:dyDescent="0.25">
      <c r="A53" s="16" t="s">
        <v>10</v>
      </c>
      <c r="B53" s="1" t="s">
        <v>41</v>
      </c>
      <c r="C53" s="1">
        <v>1597</v>
      </c>
      <c r="D53" s="1" t="s">
        <v>341</v>
      </c>
      <c r="E53" s="1" t="s">
        <v>346</v>
      </c>
      <c r="F53" s="1" t="s">
        <v>350</v>
      </c>
      <c r="G53" s="1">
        <v>37</v>
      </c>
      <c r="H53" s="1">
        <v>0</v>
      </c>
      <c r="I53" s="1" t="s">
        <v>352</v>
      </c>
      <c r="J53" s="1">
        <v>0</v>
      </c>
      <c r="K53" s="17" t="str">
        <f t="shared" si="0"/>
        <v>Dec</v>
      </c>
    </row>
    <row r="54" spans="1:11" x14ac:dyDescent="0.25">
      <c r="A54" s="16" t="s">
        <v>13</v>
      </c>
      <c r="B54" s="1" t="s">
        <v>19</v>
      </c>
      <c r="C54" s="1">
        <v>1453</v>
      </c>
      <c r="D54" s="1" t="s">
        <v>341</v>
      </c>
      <c r="E54" s="1" t="s">
        <v>343</v>
      </c>
      <c r="F54" s="1" t="s">
        <v>350</v>
      </c>
      <c r="G54" s="1">
        <v>5</v>
      </c>
      <c r="H54" s="1">
        <v>10</v>
      </c>
      <c r="I54" s="1" t="s">
        <v>353</v>
      </c>
      <c r="J54" s="1">
        <v>4</v>
      </c>
      <c r="K54" s="17" t="str">
        <f t="shared" si="0"/>
        <v>Sep</v>
      </c>
    </row>
    <row r="55" spans="1:11" x14ac:dyDescent="0.25">
      <c r="A55" s="16" t="s">
        <v>10</v>
      </c>
      <c r="B55" s="1" t="s">
        <v>56</v>
      </c>
      <c r="C55" s="1">
        <v>991</v>
      </c>
      <c r="D55" s="1" t="s">
        <v>341</v>
      </c>
      <c r="E55" s="1" t="s">
        <v>343</v>
      </c>
      <c r="F55" s="1" t="s">
        <v>350</v>
      </c>
      <c r="G55" s="1">
        <v>21</v>
      </c>
      <c r="H55" s="1">
        <v>1</v>
      </c>
      <c r="I55" s="1" t="s">
        <v>354</v>
      </c>
      <c r="J55" s="1">
        <v>3</v>
      </c>
      <c r="K55" s="17" t="str">
        <f t="shared" si="0"/>
        <v>Aug</v>
      </c>
    </row>
    <row r="56" spans="1:11" x14ac:dyDescent="0.25">
      <c r="A56" s="16" t="s">
        <v>11</v>
      </c>
      <c r="B56" s="1" t="s">
        <v>15</v>
      </c>
      <c r="C56" s="1">
        <v>1412</v>
      </c>
      <c r="D56" s="1" t="s">
        <v>341</v>
      </c>
      <c r="E56" s="1" t="s">
        <v>343</v>
      </c>
      <c r="F56" s="1" t="s">
        <v>348</v>
      </c>
      <c r="G56" s="1">
        <v>24</v>
      </c>
      <c r="H56" s="1">
        <v>10</v>
      </c>
      <c r="I56" s="1" t="s">
        <v>353</v>
      </c>
      <c r="J56" s="1">
        <v>1</v>
      </c>
      <c r="K56" s="17" t="str">
        <f t="shared" si="0"/>
        <v>Oct</v>
      </c>
    </row>
    <row r="57" spans="1:11" x14ac:dyDescent="0.25">
      <c r="A57" s="16" t="s">
        <v>10</v>
      </c>
      <c r="B57" s="4" t="s">
        <v>57</v>
      </c>
      <c r="C57" s="1">
        <v>1776</v>
      </c>
      <c r="D57" s="1" t="s">
        <v>341</v>
      </c>
      <c r="E57" s="1" t="s">
        <v>344</v>
      </c>
      <c r="F57" s="1" t="s">
        <v>349</v>
      </c>
      <c r="G57" s="1">
        <v>17</v>
      </c>
      <c r="H57" s="1">
        <v>5</v>
      </c>
      <c r="I57" s="1" t="s">
        <v>354</v>
      </c>
      <c r="J57" s="1">
        <v>1</v>
      </c>
      <c r="K57" s="17" t="str">
        <f t="shared" si="0"/>
        <v>Mar</v>
      </c>
    </row>
    <row r="58" spans="1:11" x14ac:dyDescent="0.25">
      <c r="A58" s="16" t="s">
        <v>11</v>
      </c>
      <c r="B58" s="4" t="s">
        <v>58</v>
      </c>
      <c r="C58" s="1">
        <v>1753</v>
      </c>
      <c r="D58" s="1" t="s">
        <v>342</v>
      </c>
      <c r="E58" s="1" t="s">
        <v>344</v>
      </c>
      <c r="F58" s="1" t="s">
        <v>349</v>
      </c>
      <c r="G58" s="1">
        <v>16</v>
      </c>
      <c r="H58" s="1">
        <v>8</v>
      </c>
      <c r="I58" s="1" t="s">
        <v>352</v>
      </c>
      <c r="J58" s="1">
        <v>1</v>
      </c>
      <c r="K58" s="17" t="str">
        <f t="shared" si="0"/>
        <v>Dec</v>
      </c>
    </row>
    <row r="59" spans="1:11" x14ac:dyDescent="0.25">
      <c r="A59" s="16" t="s">
        <v>11</v>
      </c>
      <c r="B59" s="1" t="s">
        <v>59</v>
      </c>
      <c r="C59" s="1">
        <v>1697</v>
      </c>
      <c r="D59" s="1" t="s">
        <v>340</v>
      </c>
      <c r="E59" s="1" t="s">
        <v>346</v>
      </c>
      <c r="F59" s="1" t="s">
        <v>347</v>
      </c>
      <c r="G59" s="1">
        <v>11</v>
      </c>
      <c r="H59" s="1">
        <v>3</v>
      </c>
      <c r="I59" s="1" t="s">
        <v>351</v>
      </c>
      <c r="J59" s="1">
        <v>3</v>
      </c>
      <c r="K59" s="17" t="str">
        <f t="shared" si="0"/>
        <v>Mar</v>
      </c>
    </row>
    <row r="60" spans="1:11" x14ac:dyDescent="0.25">
      <c r="A60" s="16" t="s">
        <v>12</v>
      </c>
      <c r="B60" s="4" t="s">
        <v>60</v>
      </c>
      <c r="C60" s="1">
        <v>1691</v>
      </c>
      <c r="D60" s="1" t="s">
        <v>342</v>
      </c>
      <c r="E60" s="1" t="s">
        <v>346</v>
      </c>
      <c r="F60" s="1" t="s">
        <v>349</v>
      </c>
      <c r="G60" s="1">
        <v>5</v>
      </c>
      <c r="H60" s="1">
        <v>2</v>
      </c>
      <c r="I60" s="1" t="s">
        <v>351</v>
      </c>
      <c r="J60" s="1">
        <v>3</v>
      </c>
      <c r="K60" s="17" t="str">
        <f t="shared" si="0"/>
        <v>Aug</v>
      </c>
    </row>
    <row r="61" spans="1:11" x14ac:dyDescent="0.25">
      <c r="A61" s="16" t="s">
        <v>10</v>
      </c>
      <c r="B61" s="4" t="s">
        <v>61</v>
      </c>
      <c r="C61" s="1">
        <v>669</v>
      </c>
      <c r="D61" s="1" t="s">
        <v>340</v>
      </c>
      <c r="E61" s="1" t="s">
        <v>344</v>
      </c>
      <c r="F61" s="1" t="s">
        <v>349</v>
      </c>
      <c r="G61" s="1">
        <v>25</v>
      </c>
      <c r="H61" s="1">
        <v>7</v>
      </c>
      <c r="I61" s="1" t="s">
        <v>351</v>
      </c>
      <c r="J61" s="1">
        <v>3</v>
      </c>
      <c r="K61" s="17" t="str">
        <f t="shared" si="0"/>
        <v>Feb</v>
      </c>
    </row>
    <row r="62" spans="1:11" x14ac:dyDescent="0.25">
      <c r="A62" s="16" t="s">
        <v>12</v>
      </c>
      <c r="B62" s="1" t="s">
        <v>62</v>
      </c>
      <c r="C62" s="1">
        <v>1916</v>
      </c>
      <c r="D62" s="1" t="s">
        <v>342</v>
      </c>
      <c r="E62" s="1" t="s">
        <v>346</v>
      </c>
      <c r="F62" s="1" t="s">
        <v>350</v>
      </c>
      <c r="G62" s="1">
        <v>26</v>
      </c>
      <c r="H62" s="1">
        <v>10</v>
      </c>
      <c r="I62" s="1" t="s">
        <v>354</v>
      </c>
      <c r="J62" s="1">
        <v>0</v>
      </c>
      <c r="K62" s="17" t="str">
        <f t="shared" si="0"/>
        <v>May</v>
      </c>
    </row>
    <row r="63" spans="1:11" x14ac:dyDescent="0.25">
      <c r="A63" s="16" t="s">
        <v>10</v>
      </c>
      <c r="B63" s="1" t="s">
        <v>63</v>
      </c>
      <c r="C63" s="1">
        <v>1445</v>
      </c>
      <c r="D63" s="1" t="s">
        <v>341</v>
      </c>
      <c r="E63" s="1" t="s">
        <v>344</v>
      </c>
      <c r="F63" s="1" t="s">
        <v>347</v>
      </c>
      <c r="G63" s="1">
        <v>7</v>
      </c>
      <c r="H63" s="1">
        <v>9</v>
      </c>
      <c r="I63" s="1" t="s">
        <v>352</v>
      </c>
      <c r="J63" s="1">
        <v>5</v>
      </c>
      <c r="K63" s="17" t="str">
        <f t="shared" si="0"/>
        <v>Jan</v>
      </c>
    </row>
    <row r="64" spans="1:11" x14ac:dyDescent="0.25">
      <c r="A64" s="16" t="s">
        <v>10</v>
      </c>
      <c r="B64" s="4" t="s">
        <v>64</v>
      </c>
      <c r="C64" s="1">
        <v>1294</v>
      </c>
      <c r="D64" s="1" t="s">
        <v>340</v>
      </c>
      <c r="E64" s="1" t="s">
        <v>345</v>
      </c>
      <c r="F64" s="1" t="s">
        <v>349</v>
      </c>
      <c r="G64" s="1">
        <v>18</v>
      </c>
      <c r="H64" s="1">
        <v>8</v>
      </c>
      <c r="I64" s="1" t="s">
        <v>353</v>
      </c>
      <c r="J64" s="1">
        <v>0</v>
      </c>
      <c r="K64" s="17" t="str">
        <f t="shared" si="0"/>
        <v>Jun</v>
      </c>
    </row>
    <row r="65" spans="1:11" x14ac:dyDescent="0.25">
      <c r="A65" s="16" t="s">
        <v>12</v>
      </c>
      <c r="B65" s="1" t="s">
        <v>65</v>
      </c>
      <c r="C65" s="1">
        <v>1133</v>
      </c>
      <c r="D65" s="1" t="s">
        <v>340</v>
      </c>
      <c r="E65" s="1" t="s">
        <v>343</v>
      </c>
      <c r="F65" s="1" t="s">
        <v>348</v>
      </c>
      <c r="G65" s="1">
        <v>41</v>
      </c>
      <c r="H65" s="1">
        <v>10</v>
      </c>
      <c r="I65" s="1" t="s">
        <v>352</v>
      </c>
      <c r="J65" s="1">
        <v>1</v>
      </c>
      <c r="K65" s="17" t="str">
        <f t="shared" si="0"/>
        <v>Jan</v>
      </c>
    </row>
    <row r="66" spans="1:11" x14ac:dyDescent="0.25">
      <c r="A66" s="16" t="s">
        <v>12</v>
      </c>
      <c r="B66" s="4" t="s">
        <v>66</v>
      </c>
      <c r="C66" s="1">
        <v>1717</v>
      </c>
      <c r="D66" s="1" t="s">
        <v>342</v>
      </c>
      <c r="E66" s="1" t="s">
        <v>343</v>
      </c>
      <c r="F66" s="1" t="s">
        <v>349</v>
      </c>
      <c r="G66" s="1">
        <v>0</v>
      </c>
      <c r="H66" s="1">
        <v>4</v>
      </c>
      <c r="I66" s="1" t="s">
        <v>353</v>
      </c>
      <c r="J66" s="1">
        <v>5</v>
      </c>
      <c r="K66" s="17" t="str">
        <f t="shared" si="0"/>
        <v>Nov</v>
      </c>
    </row>
    <row r="67" spans="1:11" x14ac:dyDescent="0.25">
      <c r="A67" s="16" t="s">
        <v>10</v>
      </c>
      <c r="B67" s="1" t="s">
        <v>67</v>
      </c>
      <c r="C67" s="1">
        <v>528</v>
      </c>
      <c r="D67" s="1" t="s">
        <v>342</v>
      </c>
      <c r="E67" s="1" t="s">
        <v>346</v>
      </c>
      <c r="F67" s="1" t="s">
        <v>350</v>
      </c>
      <c r="G67" s="1">
        <v>28</v>
      </c>
      <c r="H67" s="1">
        <v>8</v>
      </c>
      <c r="I67" s="1" t="s">
        <v>354</v>
      </c>
      <c r="J67" s="1">
        <v>2</v>
      </c>
      <c r="K67" s="17" t="str">
        <f t="shared" si="0"/>
        <v>Aug</v>
      </c>
    </row>
    <row r="68" spans="1:11" x14ac:dyDescent="0.25">
      <c r="A68" s="16" t="s">
        <v>13</v>
      </c>
      <c r="B68" s="1" t="s">
        <v>68</v>
      </c>
      <c r="C68" s="1">
        <v>1688</v>
      </c>
      <c r="D68" s="1" t="s">
        <v>340</v>
      </c>
      <c r="E68" s="1" t="s">
        <v>344</v>
      </c>
      <c r="F68" s="1" t="s">
        <v>348</v>
      </c>
      <c r="G68" s="1">
        <v>44</v>
      </c>
      <c r="H68" s="1">
        <v>1</v>
      </c>
      <c r="I68" s="1" t="s">
        <v>354</v>
      </c>
      <c r="J68" s="1">
        <v>1</v>
      </c>
      <c r="K68" s="17" t="str">
        <f t="shared" ref="K68:K131" si="1">TEXT(B68,"mmm")</f>
        <v>Dec</v>
      </c>
    </row>
    <row r="69" spans="1:11" x14ac:dyDescent="0.25">
      <c r="A69" s="16" t="s">
        <v>11</v>
      </c>
      <c r="B69" s="1" t="s">
        <v>51</v>
      </c>
      <c r="C69" s="1">
        <v>1945</v>
      </c>
      <c r="D69" s="1" t="s">
        <v>342</v>
      </c>
      <c r="E69" s="1" t="s">
        <v>344</v>
      </c>
      <c r="F69" s="1" t="s">
        <v>350</v>
      </c>
      <c r="G69" s="1">
        <v>48</v>
      </c>
      <c r="H69" s="1">
        <v>2</v>
      </c>
      <c r="I69" s="1" t="s">
        <v>353</v>
      </c>
      <c r="J69" s="1">
        <v>4</v>
      </c>
      <c r="K69" s="17" t="str">
        <f t="shared" si="1"/>
        <v>Mar</v>
      </c>
    </row>
    <row r="70" spans="1:11" x14ac:dyDescent="0.25">
      <c r="A70" s="16" t="s">
        <v>12</v>
      </c>
      <c r="B70" s="4" t="s">
        <v>69</v>
      </c>
      <c r="C70" s="1">
        <v>838</v>
      </c>
      <c r="D70" s="1" t="s">
        <v>342</v>
      </c>
      <c r="E70" s="1" t="s">
        <v>346</v>
      </c>
      <c r="F70" s="1" t="s">
        <v>349</v>
      </c>
      <c r="G70" s="1">
        <v>34</v>
      </c>
      <c r="H70" s="1">
        <v>6</v>
      </c>
      <c r="I70" s="1" t="s">
        <v>353</v>
      </c>
      <c r="J70" s="1">
        <v>0</v>
      </c>
      <c r="K70" s="17" t="str">
        <f t="shared" si="1"/>
        <v>Feb</v>
      </c>
    </row>
    <row r="71" spans="1:11" x14ac:dyDescent="0.25">
      <c r="A71" s="16" t="s">
        <v>11</v>
      </c>
      <c r="B71" s="1" t="s">
        <v>70</v>
      </c>
      <c r="C71" s="1">
        <v>1888</v>
      </c>
      <c r="D71" s="1" t="s">
        <v>342</v>
      </c>
      <c r="E71" s="1" t="s">
        <v>344</v>
      </c>
      <c r="F71" s="1" t="s">
        <v>348</v>
      </c>
      <c r="G71" s="1">
        <v>39</v>
      </c>
      <c r="H71" s="1">
        <v>6</v>
      </c>
      <c r="I71" s="1" t="s">
        <v>353</v>
      </c>
      <c r="J71" s="1">
        <v>3</v>
      </c>
      <c r="K71" s="17" t="str">
        <f t="shared" si="1"/>
        <v>Feb</v>
      </c>
    </row>
    <row r="72" spans="1:11" x14ac:dyDescent="0.25">
      <c r="A72" s="16" t="s">
        <v>13</v>
      </c>
      <c r="B72" s="1" t="s">
        <v>71</v>
      </c>
      <c r="C72" s="1">
        <v>1865</v>
      </c>
      <c r="D72" s="1" t="s">
        <v>341</v>
      </c>
      <c r="E72" s="1" t="s">
        <v>345</v>
      </c>
      <c r="F72" s="1" t="s">
        <v>347</v>
      </c>
      <c r="G72" s="1">
        <v>13</v>
      </c>
      <c r="H72" s="1">
        <v>5</v>
      </c>
      <c r="I72" s="1" t="s">
        <v>352</v>
      </c>
      <c r="J72" s="1">
        <v>0</v>
      </c>
      <c r="K72" s="17" t="str">
        <f t="shared" si="1"/>
        <v>Jan</v>
      </c>
    </row>
    <row r="73" spans="1:11" x14ac:dyDescent="0.25">
      <c r="A73" s="16" t="s">
        <v>13</v>
      </c>
      <c r="B73" s="1" t="s">
        <v>72</v>
      </c>
      <c r="C73" s="1">
        <v>999</v>
      </c>
      <c r="D73" s="1" t="s">
        <v>341</v>
      </c>
      <c r="E73" s="1" t="s">
        <v>343</v>
      </c>
      <c r="F73" s="1" t="s">
        <v>347</v>
      </c>
      <c r="G73" s="1">
        <v>34</v>
      </c>
      <c r="H73" s="1">
        <v>5</v>
      </c>
      <c r="I73" s="1" t="s">
        <v>353</v>
      </c>
      <c r="J73" s="1">
        <v>3</v>
      </c>
      <c r="K73" s="17" t="str">
        <f t="shared" si="1"/>
        <v>Mar</v>
      </c>
    </row>
    <row r="74" spans="1:11" x14ac:dyDescent="0.25">
      <c r="A74" s="16" t="s">
        <v>13</v>
      </c>
      <c r="B74" s="1" t="s">
        <v>73</v>
      </c>
      <c r="C74" s="1">
        <v>1010</v>
      </c>
      <c r="D74" s="1" t="s">
        <v>342</v>
      </c>
      <c r="E74" s="1" t="s">
        <v>346</v>
      </c>
      <c r="F74" s="1" t="s">
        <v>348</v>
      </c>
      <c r="G74" s="1">
        <v>47</v>
      </c>
      <c r="H74" s="1">
        <v>1</v>
      </c>
      <c r="I74" s="1" t="s">
        <v>354</v>
      </c>
      <c r="J74" s="1">
        <v>5</v>
      </c>
      <c r="K74" s="17" t="str">
        <f t="shared" si="1"/>
        <v>Apr</v>
      </c>
    </row>
    <row r="75" spans="1:11" x14ac:dyDescent="0.25">
      <c r="A75" s="16" t="s">
        <v>12</v>
      </c>
      <c r="B75" s="1" t="s">
        <v>74</v>
      </c>
      <c r="C75" s="1">
        <v>1850</v>
      </c>
      <c r="D75" s="1" t="s">
        <v>342</v>
      </c>
      <c r="E75" s="1" t="s">
        <v>346</v>
      </c>
      <c r="F75" s="1" t="s">
        <v>348</v>
      </c>
      <c r="G75" s="1">
        <v>44</v>
      </c>
      <c r="H75" s="1">
        <v>9</v>
      </c>
      <c r="I75" s="1" t="s">
        <v>354</v>
      </c>
      <c r="J75" s="1">
        <v>4</v>
      </c>
      <c r="K75" s="17" t="str">
        <f t="shared" si="1"/>
        <v>Nov</v>
      </c>
    </row>
    <row r="76" spans="1:11" x14ac:dyDescent="0.25">
      <c r="A76" s="16" t="s">
        <v>13</v>
      </c>
      <c r="B76" s="1" t="s">
        <v>39</v>
      </c>
      <c r="C76" s="1">
        <v>716</v>
      </c>
      <c r="D76" s="1" t="s">
        <v>341</v>
      </c>
      <c r="E76" s="1" t="s">
        <v>344</v>
      </c>
      <c r="F76" s="1" t="s">
        <v>350</v>
      </c>
      <c r="G76" s="1">
        <v>19</v>
      </c>
      <c r="H76" s="1">
        <v>5</v>
      </c>
      <c r="I76" s="1" t="s">
        <v>351</v>
      </c>
      <c r="J76" s="1">
        <v>5</v>
      </c>
      <c r="K76" s="17" t="str">
        <f t="shared" si="1"/>
        <v>Sep</v>
      </c>
    </row>
    <row r="77" spans="1:11" x14ac:dyDescent="0.25">
      <c r="A77" s="16" t="s">
        <v>12</v>
      </c>
      <c r="B77" s="1" t="s">
        <v>75</v>
      </c>
      <c r="C77" s="1">
        <v>1824</v>
      </c>
      <c r="D77" s="1" t="s">
        <v>341</v>
      </c>
      <c r="E77" s="1" t="s">
        <v>346</v>
      </c>
      <c r="F77" s="1" t="s">
        <v>348</v>
      </c>
      <c r="G77" s="1">
        <v>48</v>
      </c>
      <c r="H77" s="1">
        <v>3</v>
      </c>
      <c r="I77" s="1" t="s">
        <v>353</v>
      </c>
      <c r="J77" s="1">
        <v>4</v>
      </c>
      <c r="K77" s="17" t="str">
        <f t="shared" si="1"/>
        <v>Mar</v>
      </c>
    </row>
    <row r="78" spans="1:11" x14ac:dyDescent="0.25">
      <c r="A78" s="16" t="s">
        <v>13</v>
      </c>
      <c r="B78" s="1" t="s">
        <v>76</v>
      </c>
      <c r="C78" s="1">
        <v>1655</v>
      </c>
      <c r="D78" s="1" t="s">
        <v>340</v>
      </c>
      <c r="E78" s="1" t="s">
        <v>345</v>
      </c>
      <c r="F78" s="1" t="s">
        <v>350</v>
      </c>
      <c r="G78" s="1">
        <v>12</v>
      </c>
      <c r="H78" s="1">
        <v>2</v>
      </c>
      <c r="I78" s="1" t="s">
        <v>352</v>
      </c>
      <c r="J78" s="1">
        <v>0</v>
      </c>
      <c r="K78" s="17" t="str">
        <f t="shared" si="1"/>
        <v>Jul</v>
      </c>
    </row>
    <row r="79" spans="1:11" x14ac:dyDescent="0.25">
      <c r="A79" s="16" t="s">
        <v>11</v>
      </c>
      <c r="B79" s="4" t="s">
        <v>17</v>
      </c>
      <c r="C79" s="1">
        <v>1593</v>
      </c>
      <c r="D79" s="1" t="s">
        <v>340</v>
      </c>
      <c r="E79" s="1" t="s">
        <v>344</v>
      </c>
      <c r="F79" s="1" t="s">
        <v>349</v>
      </c>
      <c r="G79" s="1">
        <v>37</v>
      </c>
      <c r="H79" s="1">
        <v>10</v>
      </c>
      <c r="I79" s="1" t="s">
        <v>352</v>
      </c>
      <c r="J79" s="1">
        <v>3</v>
      </c>
      <c r="K79" s="17" t="str">
        <f t="shared" si="1"/>
        <v>Jun</v>
      </c>
    </row>
    <row r="80" spans="1:11" x14ac:dyDescent="0.25">
      <c r="A80" s="16" t="s">
        <v>11</v>
      </c>
      <c r="B80" s="1" t="s">
        <v>77</v>
      </c>
      <c r="C80" s="1">
        <v>1775</v>
      </c>
      <c r="D80" s="1" t="s">
        <v>341</v>
      </c>
      <c r="E80" s="1" t="s">
        <v>344</v>
      </c>
      <c r="F80" s="1" t="s">
        <v>350</v>
      </c>
      <c r="G80" s="1">
        <v>48</v>
      </c>
      <c r="H80" s="1">
        <v>1</v>
      </c>
      <c r="I80" s="1" t="s">
        <v>352</v>
      </c>
      <c r="J80" s="1">
        <v>5</v>
      </c>
      <c r="K80" s="17" t="str">
        <f t="shared" si="1"/>
        <v>Mar</v>
      </c>
    </row>
    <row r="81" spans="1:11" x14ac:dyDescent="0.25">
      <c r="A81" s="16" t="s">
        <v>10</v>
      </c>
      <c r="B81" s="1" t="s">
        <v>78</v>
      </c>
      <c r="C81" s="1">
        <v>1938</v>
      </c>
      <c r="D81" s="1" t="s">
        <v>342</v>
      </c>
      <c r="E81" s="1" t="s">
        <v>344</v>
      </c>
      <c r="F81" s="1" t="s">
        <v>348</v>
      </c>
      <c r="G81" s="1">
        <v>45</v>
      </c>
      <c r="H81" s="1">
        <v>0</v>
      </c>
      <c r="I81" s="1" t="s">
        <v>351</v>
      </c>
      <c r="J81" s="1">
        <v>4</v>
      </c>
      <c r="K81" s="17" t="str">
        <f t="shared" si="1"/>
        <v>Jan</v>
      </c>
    </row>
    <row r="82" spans="1:11" x14ac:dyDescent="0.25">
      <c r="A82" s="16" t="s">
        <v>11</v>
      </c>
      <c r="B82" s="1" t="s">
        <v>79</v>
      </c>
      <c r="C82" s="1">
        <v>944</v>
      </c>
      <c r="D82" s="1" t="s">
        <v>342</v>
      </c>
      <c r="E82" s="1" t="s">
        <v>344</v>
      </c>
      <c r="F82" s="1" t="s">
        <v>348</v>
      </c>
      <c r="G82" s="1">
        <v>48</v>
      </c>
      <c r="H82" s="1">
        <v>10</v>
      </c>
      <c r="I82" s="1" t="s">
        <v>354</v>
      </c>
      <c r="J82" s="1">
        <v>1</v>
      </c>
      <c r="K82" s="17" t="str">
        <f t="shared" si="1"/>
        <v>Sep</v>
      </c>
    </row>
    <row r="83" spans="1:11" x14ac:dyDescent="0.25">
      <c r="A83" s="16" t="s">
        <v>10</v>
      </c>
      <c r="B83" s="4" t="s">
        <v>21</v>
      </c>
      <c r="C83" s="1">
        <v>1375</v>
      </c>
      <c r="D83" s="1" t="s">
        <v>342</v>
      </c>
      <c r="E83" s="1" t="s">
        <v>345</v>
      </c>
      <c r="F83" s="1" t="s">
        <v>349</v>
      </c>
      <c r="G83" s="1">
        <v>7</v>
      </c>
      <c r="H83" s="1">
        <v>10</v>
      </c>
      <c r="I83" s="1" t="s">
        <v>352</v>
      </c>
      <c r="J83" s="1">
        <v>1</v>
      </c>
      <c r="K83" s="17" t="str">
        <f t="shared" si="1"/>
        <v>Apr</v>
      </c>
    </row>
    <row r="84" spans="1:11" x14ac:dyDescent="0.25">
      <c r="A84" s="16" t="s">
        <v>11</v>
      </c>
      <c r="B84" s="1" t="s">
        <v>80</v>
      </c>
      <c r="C84" s="1">
        <v>1705</v>
      </c>
      <c r="D84" s="1" t="s">
        <v>342</v>
      </c>
      <c r="E84" s="1" t="s">
        <v>344</v>
      </c>
      <c r="F84" s="1" t="s">
        <v>348</v>
      </c>
      <c r="G84" s="1">
        <v>42</v>
      </c>
      <c r="H84" s="1">
        <v>4</v>
      </c>
      <c r="I84" s="1" t="s">
        <v>354</v>
      </c>
      <c r="J84" s="1">
        <v>5</v>
      </c>
      <c r="K84" s="17" t="str">
        <f t="shared" si="1"/>
        <v>Mar</v>
      </c>
    </row>
    <row r="85" spans="1:11" x14ac:dyDescent="0.25">
      <c r="A85" s="16" t="s">
        <v>12</v>
      </c>
      <c r="B85" s="1" t="s">
        <v>81</v>
      </c>
      <c r="C85" s="1">
        <v>666</v>
      </c>
      <c r="D85" s="1" t="s">
        <v>340</v>
      </c>
      <c r="E85" s="1" t="s">
        <v>346</v>
      </c>
      <c r="F85" s="1" t="s">
        <v>348</v>
      </c>
      <c r="G85" s="1">
        <v>19</v>
      </c>
      <c r="H85" s="1">
        <v>1</v>
      </c>
      <c r="I85" s="1" t="s">
        <v>351</v>
      </c>
      <c r="J85" s="1">
        <v>3</v>
      </c>
      <c r="K85" s="17" t="str">
        <f t="shared" si="1"/>
        <v>Jan</v>
      </c>
    </row>
    <row r="86" spans="1:11" x14ac:dyDescent="0.25">
      <c r="A86" s="16" t="s">
        <v>11</v>
      </c>
      <c r="B86" s="1" t="s">
        <v>82</v>
      </c>
      <c r="C86" s="1">
        <v>590</v>
      </c>
      <c r="D86" s="1" t="s">
        <v>341</v>
      </c>
      <c r="E86" s="1" t="s">
        <v>345</v>
      </c>
      <c r="F86" s="1" t="s">
        <v>347</v>
      </c>
      <c r="G86" s="1">
        <v>32</v>
      </c>
      <c r="H86" s="1">
        <v>1</v>
      </c>
      <c r="I86" s="1" t="s">
        <v>353</v>
      </c>
      <c r="J86" s="1">
        <v>5</v>
      </c>
      <c r="K86" s="17" t="str">
        <f t="shared" si="1"/>
        <v>Jan</v>
      </c>
    </row>
    <row r="87" spans="1:11" x14ac:dyDescent="0.25">
      <c r="A87" s="16" t="s">
        <v>10</v>
      </c>
      <c r="B87" s="1" t="s">
        <v>83</v>
      </c>
      <c r="C87" s="1">
        <v>1213</v>
      </c>
      <c r="D87" s="1" t="s">
        <v>342</v>
      </c>
      <c r="E87" s="1" t="s">
        <v>343</v>
      </c>
      <c r="F87" s="1" t="s">
        <v>347</v>
      </c>
      <c r="G87" s="1">
        <v>25</v>
      </c>
      <c r="H87" s="1">
        <v>6</v>
      </c>
      <c r="I87" s="1" t="s">
        <v>353</v>
      </c>
      <c r="J87" s="1">
        <v>0</v>
      </c>
      <c r="K87" s="17" t="str">
        <f t="shared" si="1"/>
        <v>Jan</v>
      </c>
    </row>
    <row r="88" spans="1:11" x14ac:dyDescent="0.25">
      <c r="A88" s="16" t="s">
        <v>10</v>
      </c>
      <c r="B88" s="4" t="s">
        <v>38</v>
      </c>
      <c r="C88" s="1">
        <v>538</v>
      </c>
      <c r="D88" s="1" t="s">
        <v>340</v>
      </c>
      <c r="E88" s="1" t="s">
        <v>343</v>
      </c>
      <c r="F88" s="1" t="s">
        <v>349</v>
      </c>
      <c r="G88" s="1">
        <v>38</v>
      </c>
      <c r="H88" s="1">
        <v>7</v>
      </c>
      <c r="I88" s="1" t="s">
        <v>353</v>
      </c>
      <c r="J88" s="1">
        <v>4</v>
      </c>
      <c r="K88" s="17" t="str">
        <f t="shared" si="1"/>
        <v>May</v>
      </c>
    </row>
    <row r="89" spans="1:11" x14ac:dyDescent="0.25">
      <c r="A89" s="16" t="s">
        <v>13</v>
      </c>
      <c r="B89" s="1" t="s">
        <v>84</v>
      </c>
      <c r="C89" s="1">
        <v>1649</v>
      </c>
      <c r="D89" s="1" t="s">
        <v>342</v>
      </c>
      <c r="E89" s="1" t="s">
        <v>346</v>
      </c>
      <c r="F89" s="1" t="s">
        <v>350</v>
      </c>
      <c r="G89" s="1">
        <v>20</v>
      </c>
      <c r="H89" s="1">
        <v>9</v>
      </c>
      <c r="I89" s="1" t="s">
        <v>352</v>
      </c>
      <c r="J89" s="1">
        <v>0</v>
      </c>
      <c r="K89" s="17" t="str">
        <f t="shared" si="1"/>
        <v>Feb</v>
      </c>
    </row>
    <row r="90" spans="1:11" x14ac:dyDescent="0.25">
      <c r="A90" s="16" t="s">
        <v>12</v>
      </c>
      <c r="B90" s="1" t="s">
        <v>85</v>
      </c>
      <c r="C90" s="1">
        <v>1974</v>
      </c>
      <c r="D90" s="1" t="s">
        <v>341</v>
      </c>
      <c r="E90" s="1" t="s">
        <v>346</v>
      </c>
      <c r="F90" s="1" t="s">
        <v>347</v>
      </c>
      <c r="G90" s="1">
        <v>48</v>
      </c>
      <c r="H90" s="1">
        <v>7</v>
      </c>
      <c r="I90" s="1" t="s">
        <v>353</v>
      </c>
      <c r="J90" s="1">
        <v>1</v>
      </c>
      <c r="K90" s="17" t="str">
        <f t="shared" si="1"/>
        <v>Apr</v>
      </c>
    </row>
    <row r="91" spans="1:11" x14ac:dyDescent="0.25">
      <c r="A91" s="16" t="s">
        <v>11</v>
      </c>
      <c r="B91" s="1" t="s">
        <v>86</v>
      </c>
      <c r="C91" s="1">
        <v>672</v>
      </c>
      <c r="D91" s="1" t="s">
        <v>340</v>
      </c>
      <c r="E91" s="1" t="s">
        <v>345</v>
      </c>
      <c r="F91" s="1" t="s">
        <v>350</v>
      </c>
      <c r="G91" s="1">
        <v>41</v>
      </c>
      <c r="H91" s="1">
        <v>3</v>
      </c>
      <c r="I91" s="1" t="s">
        <v>352</v>
      </c>
      <c r="J91" s="1">
        <v>4</v>
      </c>
      <c r="K91" s="17" t="str">
        <f t="shared" si="1"/>
        <v>Sep</v>
      </c>
    </row>
    <row r="92" spans="1:11" x14ac:dyDescent="0.25">
      <c r="A92" s="16" t="s">
        <v>13</v>
      </c>
      <c r="B92" s="1" t="s">
        <v>87</v>
      </c>
      <c r="C92" s="1">
        <v>1152</v>
      </c>
      <c r="D92" s="1" t="s">
        <v>341</v>
      </c>
      <c r="E92" s="1" t="s">
        <v>343</v>
      </c>
      <c r="F92" s="1" t="s">
        <v>348</v>
      </c>
      <c r="G92" s="1">
        <v>42</v>
      </c>
      <c r="H92" s="1">
        <v>0</v>
      </c>
      <c r="I92" s="1" t="s">
        <v>351</v>
      </c>
      <c r="J92" s="1">
        <v>5</v>
      </c>
      <c r="K92" s="17" t="str">
        <f t="shared" si="1"/>
        <v>Jan</v>
      </c>
    </row>
    <row r="93" spans="1:11" x14ac:dyDescent="0.25">
      <c r="A93" s="16" t="s">
        <v>11</v>
      </c>
      <c r="B93" s="1" t="s">
        <v>88</v>
      </c>
      <c r="C93" s="1">
        <v>1253</v>
      </c>
      <c r="D93" s="1" t="s">
        <v>341</v>
      </c>
      <c r="E93" s="1" t="s">
        <v>343</v>
      </c>
      <c r="F93" s="1" t="s">
        <v>347</v>
      </c>
      <c r="G93" s="1">
        <v>40</v>
      </c>
      <c r="H93" s="1">
        <v>10</v>
      </c>
      <c r="I93" s="1" t="s">
        <v>351</v>
      </c>
      <c r="J93" s="1">
        <v>0</v>
      </c>
      <c r="K93" s="17" t="str">
        <f t="shared" si="1"/>
        <v>Apr</v>
      </c>
    </row>
    <row r="94" spans="1:11" x14ac:dyDescent="0.25">
      <c r="A94" s="16" t="s">
        <v>11</v>
      </c>
      <c r="B94" s="4" t="s">
        <v>89</v>
      </c>
      <c r="C94" s="1">
        <v>1743</v>
      </c>
      <c r="D94" s="1" t="s">
        <v>340</v>
      </c>
      <c r="E94" s="1" t="s">
        <v>343</v>
      </c>
      <c r="F94" s="1" t="s">
        <v>349</v>
      </c>
      <c r="G94" s="1">
        <v>8</v>
      </c>
      <c r="H94" s="1">
        <v>6</v>
      </c>
      <c r="I94" s="1" t="s">
        <v>352</v>
      </c>
      <c r="J94" s="1">
        <v>2</v>
      </c>
      <c r="K94" s="17" t="str">
        <f t="shared" si="1"/>
        <v>Oct</v>
      </c>
    </row>
    <row r="95" spans="1:11" x14ac:dyDescent="0.25">
      <c r="A95" s="16" t="s">
        <v>13</v>
      </c>
      <c r="B95" s="4" t="s">
        <v>90</v>
      </c>
      <c r="C95" s="1">
        <v>1581</v>
      </c>
      <c r="D95" s="1" t="s">
        <v>340</v>
      </c>
      <c r="E95" s="1" t="s">
        <v>343</v>
      </c>
      <c r="F95" s="1" t="s">
        <v>349</v>
      </c>
      <c r="G95" s="1">
        <v>23</v>
      </c>
      <c r="H95" s="1">
        <v>0</v>
      </c>
      <c r="I95" s="1" t="s">
        <v>354</v>
      </c>
      <c r="J95" s="1">
        <v>3</v>
      </c>
      <c r="K95" s="17" t="str">
        <f t="shared" si="1"/>
        <v>May</v>
      </c>
    </row>
    <row r="96" spans="1:11" x14ac:dyDescent="0.25">
      <c r="A96" s="16" t="s">
        <v>13</v>
      </c>
      <c r="B96" s="4" t="s">
        <v>70</v>
      </c>
      <c r="C96" s="1">
        <v>975</v>
      </c>
      <c r="D96" s="1" t="s">
        <v>340</v>
      </c>
      <c r="E96" s="1" t="s">
        <v>343</v>
      </c>
      <c r="F96" s="1" t="s">
        <v>349</v>
      </c>
      <c r="G96" s="1">
        <v>36</v>
      </c>
      <c r="H96" s="1">
        <v>10</v>
      </c>
      <c r="I96" s="1" t="s">
        <v>353</v>
      </c>
      <c r="J96" s="1">
        <v>3</v>
      </c>
      <c r="K96" s="17" t="str">
        <f t="shared" si="1"/>
        <v>Feb</v>
      </c>
    </row>
    <row r="97" spans="1:11" x14ac:dyDescent="0.25">
      <c r="A97" s="16" t="s">
        <v>13</v>
      </c>
      <c r="B97" s="1" t="s">
        <v>25</v>
      </c>
      <c r="C97" s="1">
        <v>955</v>
      </c>
      <c r="D97" s="1" t="s">
        <v>340</v>
      </c>
      <c r="E97" s="1" t="s">
        <v>344</v>
      </c>
      <c r="F97" s="1" t="s">
        <v>347</v>
      </c>
      <c r="G97" s="1">
        <v>48</v>
      </c>
      <c r="H97" s="1">
        <v>3</v>
      </c>
      <c r="I97" s="1" t="s">
        <v>353</v>
      </c>
      <c r="J97" s="1">
        <v>2</v>
      </c>
      <c r="K97" s="17" t="str">
        <f t="shared" si="1"/>
        <v>Nov</v>
      </c>
    </row>
    <row r="98" spans="1:11" x14ac:dyDescent="0.25">
      <c r="A98" s="16" t="s">
        <v>13</v>
      </c>
      <c r="B98" s="1" t="s">
        <v>67</v>
      </c>
      <c r="C98" s="1">
        <v>1328</v>
      </c>
      <c r="D98" s="1" t="s">
        <v>340</v>
      </c>
      <c r="E98" s="1" t="s">
        <v>346</v>
      </c>
      <c r="F98" s="1" t="s">
        <v>350</v>
      </c>
      <c r="G98" s="1">
        <v>40</v>
      </c>
      <c r="H98" s="1">
        <v>7</v>
      </c>
      <c r="I98" s="1" t="s">
        <v>353</v>
      </c>
      <c r="J98" s="1">
        <v>1</v>
      </c>
      <c r="K98" s="17" t="str">
        <f t="shared" si="1"/>
        <v>Aug</v>
      </c>
    </row>
    <row r="99" spans="1:11" x14ac:dyDescent="0.25">
      <c r="A99" s="16" t="s">
        <v>13</v>
      </c>
      <c r="B99" s="1" t="s">
        <v>91</v>
      </c>
      <c r="C99" s="1">
        <v>1394</v>
      </c>
      <c r="D99" s="1" t="s">
        <v>340</v>
      </c>
      <c r="E99" s="1" t="s">
        <v>344</v>
      </c>
      <c r="F99" s="1" t="s">
        <v>348</v>
      </c>
      <c r="G99" s="1">
        <v>16</v>
      </c>
      <c r="H99" s="1">
        <v>1</v>
      </c>
      <c r="I99" s="1" t="s">
        <v>352</v>
      </c>
      <c r="J99" s="1">
        <v>4</v>
      </c>
      <c r="K99" s="17" t="str">
        <f t="shared" si="1"/>
        <v>May</v>
      </c>
    </row>
    <row r="100" spans="1:11" x14ac:dyDescent="0.25">
      <c r="A100" s="16" t="s">
        <v>11</v>
      </c>
      <c r="B100" s="1" t="s">
        <v>92</v>
      </c>
      <c r="C100" s="1">
        <v>1884</v>
      </c>
      <c r="D100" s="1" t="s">
        <v>340</v>
      </c>
      <c r="E100" s="1" t="s">
        <v>343</v>
      </c>
      <c r="F100" s="1" t="s">
        <v>350</v>
      </c>
      <c r="G100" s="1">
        <v>23</v>
      </c>
      <c r="H100" s="1">
        <v>5</v>
      </c>
      <c r="I100" s="1" t="s">
        <v>351</v>
      </c>
      <c r="J100" s="1">
        <v>3</v>
      </c>
      <c r="K100" s="17" t="str">
        <f t="shared" si="1"/>
        <v>Apr</v>
      </c>
    </row>
    <row r="101" spans="1:11" x14ac:dyDescent="0.25">
      <c r="A101" s="16" t="s">
        <v>13</v>
      </c>
      <c r="B101" s="1" t="s">
        <v>93</v>
      </c>
      <c r="C101" s="1">
        <v>1524</v>
      </c>
      <c r="D101" s="1" t="s">
        <v>342</v>
      </c>
      <c r="E101" s="1" t="s">
        <v>345</v>
      </c>
      <c r="F101" s="1" t="s">
        <v>350</v>
      </c>
      <c r="G101" s="1">
        <v>20</v>
      </c>
      <c r="H101" s="1">
        <v>5</v>
      </c>
      <c r="I101" s="1" t="s">
        <v>353</v>
      </c>
      <c r="J101" s="1">
        <v>2</v>
      </c>
      <c r="K101" s="17" t="str">
        <f t="shared" si="1"/>
        <v>Sep</v>
      </c>
    </row>
    <row r="102" spans="1:11" x14ac:dyDescent="0.25">
      <c r="A102" s="16" t="s">
        <v>12</v>
      </c>
      <c r="B102" s="1" t="s">
        <v>45</v>
      </c>
      <c r="C102" s="1">
        <v>886</v>
      </c>
      <c r="D102" s="1" t="s">
        <v>341</v>
      </c>
      <c r="E102" s="1" t="s">
        <v>345</v>
      </c>
      <c r="F102" s="1" t="s">
        <v>348</v>
      </c>
      <c r="G102" s="1">
        <v>50</v>
      </c>
      <c r="H102" s="1">
        <v>8</v>
      </c>
      <c r="I102" s="1" t="s">
        <v>351</v>
      </c>
      <c r="J102" s="1">
        <v>5</v>
      </c>
      <c r="K102" s="17" t="str">
        <f t="shared" si="1"/>
        <v>Mar</v>
      </c>
    </row>
    <row r="103" spans="1:11" x14ac:dyDescent="0.25">
      <c r="A103" s="16" t="s">
        <v>10</v>
      </c>
      <c r="B103" s="1" t="s">
        <v>94</v>
      </c>
      <c r="C103" s="1">
        <v>847</v>
      </c>
      <c r="D103" s="1" t="s">
        <v>340</v>
      </c>
      <c r="E103" s="1" t="s">
        <v>343</v>
      </c>
      <c r="F103" s="1" t="s">
        <v>348</v>
      </c>
      <c r="G103" s="1">
        <v>38</v>
      </c>
      <c r="H103" s="1">
        <v>4</v>
      </c>
      <c r="I103" s="1" t="s">
        <v>353</v>
      </c>
      <c r="J103" s="1">
        <v>2</v>
      </c>
      <c r="K103" s="17" t="str">
        <f t="shared" si="1"/>
        <v>Nov</v>
      </c>
    </row>
    <row r="104" spans="1:11" x14ac:dyDescent="0.25">
      <c r="A104" s="16" t="s">
        <v>13</v>
      </c>
      <c r="B104" s="1" t="s">
        <v>95</v>
      </c>
      <c r="C104" s="1">
        <v>689</v>
      </c>
      <c r="D104" s="1" t="s">
        <v>342</v>
      </c>
      <c r="E104" s="1" t="s">
        <v>343</v>
      </c>
      <c r="F104" s="1" t="s">
        <v>347</v>
      </c>
      <c r="G104" s="1">
        <v>40</v>
      </c>
      <c r="H104" s="1">
        <v>9</v>
      </c>
      <c r="I104" s="1" t="s">
        <v>353</v>
      </c>
      <c r="J104" s="1">
        <v>1</v>
      </c>
      <c r="K104" s="17" t="str">
        <f t="shared" si="1"/>
        <v>Jan</v>
      </c>
    </row>
    <row r="105" spans="1:11" x14ac:dyDescent="0.25">
      <c r="A105" s="16" t="s">
        <v>13</v>
      </c>
      <c r="B105" s="1" t="s">
        <v>96</v>
      </c>
      <c r="C105" s="1">
        <v>1004</v>
      </c>
      <c r="D105" s="1" t="s">
        <v>342</v>
      </c>
      <c r="E105" s="1" t="s">
        <v>345</v>
      </c>
      <c r="F105" s="1" t="s">
        <v>347</v>
      </c>
      <c r="G105" s="1">
        <v>38</v>
      </c>
      <c r="H105" s="1">
        <v>3</v>
      </c>
      <c r="I105" s="1" t="s">
        <v>352</v>
      </c>
      <c r="J105" s="1">
        <v>1</v>
      </c>
      <c r="K105" s="17" t="str">
        <f t="shared" si="1"/>
        <v>Aug</v>
      </c>
    </row>
    <row r="106" spans="1:11" x14ac:dyDescent="0.25">
      <c r="A106" s="16" t="s">
        <v>11</v>
      </c>
      <c r="B106" s="1" t="s">
        <v>97</v>
      </c>
      <c r="C106" s="1">
        <v>1714</v>
      </c>
      <c r="D106" s="1" t="s">
        <v>342</v>
      </c>
      <c r="E106" s="1" t="s">
        <v>344</v>
      </c>
      <c r="F106" s="1" t="s">
        <v>347</v>
      </c>
      <c r="G106" s="1">
        <v>12</v>
      </c>
      <c r="H106" s="1">
        <v>4</v>
      </c>
      <c r="I106" s="1" t="s">
        <v>354</v>
      </c>
      <c r="J106" s="1">
        <v>0</v>
      </c>
      <c r="K106" s="17" t="str">
        <f t="shared" si="1"/>
        <v>Jul</v>
      </c>
    </row>
    <row r="107" spans="1:11" x14ac:dyDescent="0.25">
      <c r="A107" s="16" t="s">
        <v>13</v>
      </c>
      <c r="B107" s="1" t="s">
        <v>98</v>
      </c>
      <c r="C107" s="1">
        <v>1892</v>
      </c>
      <c r="D107" s="1" t="s">
        <v>341</v>
      </c>
      <c r="E107" s="1" t="s">
        <v>344</v>
      </c>
      <c r="F107" s="1" t="s">
        <v>347</v>
      </c>
      <c r="G107" s="1">
        <v>10</v>
      </c>
      <c r="H107" s="1">
        <v>9</v>
      </c>
      <c r="I107" s="1" t="s">
        <v>352</v>
      </c>
      <c r="J107" s="1">
        <v>3</v>
      </c>
      <c r="K107" s="17" t="str">
        <f t="shared" si="1"/>
        <v>Jan</v>
      </c>
    </row>
    <row r="108" spans="1:11" x14ac:dyDescent="0.25">
      <c r="A108" s="16" t="s">
        <v>13</v>
      </c>
      <c r="B108" s="1" t="s">
        <v>99</v>
      </c>
      <c r="C108" s="1">
        <v>1932</v>
      </c>
      <c r="D108" s="1" t="s">
        <v>340</v>
      </c>
      <c r="E108" s="1" t="s">
        <v>343</v>
      </c>
      <c r="F108" s="1" t="s">
        <v>347</v>
      </c>
      <c r="G108" s="1">
        <v>45</v>
      </c>
      <c r="H108" s="1">
        <v>10</v>
      </c>
      <c r="I108" s="1" t="s">
        <v>353</v>
      </c>
      <c r="J108" s="1">
        <v>0</v>
      </c>
      <c r="K108" s="17" t="str">
        <f t="shared" si="1"/>
        <v>Jan</v>
      </c>
    </row>
    <row r="109" spans="1:11" x14ac:dyDescent="0.25">
      <c r="A109" s="16" t="s">
        <v>13</v>
      </c>
      <c r="B109" s="1" t="s">
        <v>100</v>
      </c>
      <c r="C109" s="1">
        <v>1323</v>
      </c>
      <c r="D109" s="1" t="s">
        <v>342</v>
      </c>
      <c r="E109" s="1" t="s">
        <v>344</v>
      </c>
      <c r="F109" s="1" t="s">
        <v>348</v>
      </c>
      <c r="G109" s="1">
        <v>18</v>
      </c>
      <c r="H109" s="1">
        <v>4</v>
      </c>
      <c r="I109" s="1" t="s">
        <v>353</v>
      </c>
      <c r="J109" s="1">
        <v>2</v>
      </c>
      <c r="K109" s="17" t="str">
        <f t="shared" si="1"/>
        <v>Sep</v>
      </c>
    </row>
    <row r="110" spans="1:11" x14ac:dyDescent="0.25">
      <c r="A110" s="16" t="s">
        <v>11</v>
      </c>
      <c r="B110" s="1" t="s">
        <v>101</v>
      </c>
      <c r="C110" s="1">
        <v>1428</v>
      </c>
      <c r="D110" s="1" t="s">
        <v>341</v>
      </c>
      <c r="E110" s="1" t="s">
        <v>345</v>
      </c>
      <c r="F110" s="1" t="s">
        <v>350</v>
      </c>
      <c r="G110" s="1">
        <v>10</v>
      </c>
      <c r="H110" s="1">
        <v>7</v>
      </c>
      <c r="I110" s="1" t="s">
        <v>354</v>
      </c>
      <c r="J110" s="1">
        <v>4</v>
      </c>
      <c r="K110" s="17" t="str">
        <f t="shared" si="1"/>
        <v>Sep</v>
      </c>
    </row>
    <row r="111" spans="1:11" x14ac:dyDescent="0.25">
      <c r="A111" s="16" t="s">
        <v>13</v>
      </c>
      <c r="B111" s="1" t="s">
        <v>55</v>
      </c>
      <c r="C111" s="1">
        <v>1433</v>
      </c>
      <c r="D111" s="1" t="s">
        <v>341</v>
      </c>
      <c r="E111" s="1" t="s">
        <v>344</v>
      </c>
      <c r="F111" s="1" t="s">
        <v>347</v>
      </c>
      <c r="G111" s="1">
        <v>12</v>
      </c>
      <c r="H111" s="1">
        <v>9</v>
      </c>
      <c r="I111" s="1" t="s">
        <v>351</v>
      </c>
      <c r="J111" s="1">
        <v>4</v>
      </c>
      <c r="K111" s="17" t="str">
        <f t="shared" si="1"/>
        <v>Feb</v>
      </c>
    </row>
    <row r="112" spans="1:11" x14ac:dyDescent="0.25">
      <c r="A112" s="16" t="s">
        <v>10</v>
      </c>
      <c r="B112" s="1" t="s">
        <v>102</v>
      </c>
      <c r="C112" s="1">
        <v>1640</v>
      </c>
      <c r="D112" s="1" t="s">
        <v>341</v>
      </c>
      <c r="E112" s="1" t="s">
        <v>343</v>
      </c>
      <c r="F112" s="1" t="s">
        <v>347</v>
      </c>
      <c r="G112" s="1">
        <v>45</v>
      </c>
      <c r="H112" s="1">
        <v>7</v>
      </c>
      <c r="I112" s="1" t="s">
        <v>351</v>
      </c>
      <c r="J112" s="1">
        <v>1</v>
      </c>
      <c r="K112" s="17" t="str">
        <f t="shared" si="1"/>
        <v>Jun</v>
      </c>
    </row>
    <row r="113" spans="1:11" x14ac:dyDescent="0.25">
      <c r="A113" s="16" t="s">
        <v>11</v>
      </c>
      <c r="B113" s="1" t="s">
        <v>103</v>
      </c>
      <c r="C113" s="1">
        <v>633</v>
      </c>
      <c r="D113" s="1" t="s">
        <v>342</v>
      </c>
      <c r="E113" s="1" t="s">
        <v>345</v>
      </c>
      <c r="F113" s="1" t="s">
        <v>350</v>
      </c>
      <c r="G113" s="1">
        <v>44</v>
      </c>
      <c r="H113" s="1">
        <v>1</v>
      </c>
      <c r="I113" s="1" t="s">
        <v>353</v>
      </c>
      <c r="J113" s="1">
        <v>4</v>
      </c>
      <c r="K113" s="17" t="str">
        <f t="shared" si="1"/>
        <v>Nov</v>
      </c>
    </row>
    <row r="114" spans="1:11" x14ac:dyDescent="0.25">
      <c r="A114" s="16" t="s">
        <v>10</v>
      </c>
      <c r="B114" s="1" t="s">
        <v>99</v>
      </c>
      <c r="C114" s="1">
        <v>557</v>
      </c>
      <c r="D114" s="1" t="s">
        <v>340</v>
      </c>
      <c r="E114" s="1" t="s">
        <v>344</v>
      </c>
      <c r="F114" s="1" t="s">
        <v>347</v>
      </c>
      <c r="G114" s="1">
        <v>0</v>
      </c>
      <c r="H114" s="1">
        <v>6</v>
      </c>
      <c r="I114" s="1" t="s">
        <v>351</v>
      </c>
      <c r="J114" s="1">
        <v>4</v>
      </c>
      <c r="K114" s="17" t="str">
        <f t="shared" si="1"/>
        <v>Jan</v>
      </c>
    </row>
    <row r="115" spans="1:11" x14ac:dyDescent="0.25">
      <c r="A115" s="16" t="s">
        <v>11</v>
      </c>
      <c r="B115" s="1" t="s">
        <v>104</v>
      </c>
      <c r="C115" s="1">
        <v>1184</v>
      </c>
      <c r="D115" s="1" t="s">
        <v>342</v>
      </c>
      <c r="E115" s="1" t="s">
        <v>346</v>
      </c>
      <c r="F115" s="1" t="s">
        <v>350</v>
      </c>
      <c r="G115" s="1">
        <v>39</v>
      </c>
      <c r="H115" s="1">
        <v>7</v>
      </c>
      <c r="I115" s="1" t="s">
        <v>353</v>
      </c>
      <c r="J115" s="1">
        <v>4</v>
      </c>
      <c r="K115" s="17" t="str">
        <f t="shared" si="1"/>
        <v>Apr</v>
      </c>
    </row>
    <row r="116" spans="1:11" x14ac:dyDescent="0.25">
      <c r="A116" s="16" t="s">
        <v>13</v>
      </c>
      <c r="B116" s="1" t="s">
        <v>31</v>
      </c>
      <c r="C116" s="1">
        <v>1171</v>
      </c>
      <c r="D116" s="1" t="s">
        <v>342</v>
      </c>
      <c r="E116" s="1" t="s">
        <v>345</v>
      </c>
      <c r="F116" s="1" t="s">
        <v>350</v>
      </c>
      <c r="G116" s="1">
        <v>43</v>
      </c>
      <c r="H116" s="1">
        <v>10</v>
      </c>
      <c r="I116" s="1" t="s">
        <v>354</v>
      </c>
      <c r="J116" s="1">
        <v>2</v>
      </c>
      <c r="K116" s="17" t="str">
        <f t="shared" si="1"/>
        <v>Sep</v>
      </c>
    </row>
    <row r="117" spans="1:11" x14ac:dyDescent="0.25">
      <c r="A117" s="16" t="s">
        <v>10</v>
      </c>
      <c r="B117" s="1" t="s">
        <v>105</v>
      </c>
      <c r="C117" s="1">
        <v>672</v>
      </c>
      <c r="D117" s="1" t="s">
        <v>340</v>
      </c>
      <c r="E117" s="1" t="s">
        <v>345</v>
      </c>
      <c r="F117" s="1" t="s">
        <v>348</v>
      </c>
      <c r="G117" s="1">
        <v>18</v>
      </c>
      <c r="H117" s="1">
        <v>5</v>
      </c>
      <c r="I117" s="1" t="s">
        <v>354</v>
      </c>
      <c r="J117" s="1">
        <v>4</v>
      </c>
      <c r="K117" s="17" t="str">
        <f t="shared" si="1"/>
        <v>Oct</v>
      </c>
    </row>
    <row r="118" spans="1:11" x14ac:dyDescent="0.25">
      <c r="A118" s="16" t="s">
        <v>11</v>
      </c>
      <c r="B118" s="4" t="s">
        <v>66</v>
      </c>
      <c r="C118" s="1">
        <v>1314</v>
      </c>
      <c r="D118" s="1" t="s">
        <v>340</v>
      </c>
      <c r="E118" s="1" t="s">
        <v>346</v>
      </c>
      <c r="F118" s="1" t="s">
        <v>349</v>
      </c>
      <c r="G118" s="1">
        <v>11</v>
      </c>
      <c r="H118" s="1">
        <v>4</v>
      </c>
      <c r="I118" s="1" t="s">
        <v>353</v>
      </c>
      <c r="J118" s="1">
        <v>5</v>
      </c>
      <c r="K118" s="17" t="str">
        <f t="shared" si="1"/>
        <v>Nov</v>
      </c>
    </row>
    <row r="119" spans="1:11" x14ac:dyDescent="0.25">
      <c r="A119" s="16" t="s">
        <v>12</v>
      </c>
      <c r="B119" s="1" t="s">
        <v>106</v>
      </c>
      <c r="C119" s="1">
        <v>1672</v>
      </c>
      <c r="D119" s="1" t="s">
        <v>340</v>
      </c>
      <c r="E119" s="1" t="s">
        <v>346</v>
      </c>
      <c r="F119" s="1" t="s">
        <v>348</v>
      </c>
      <c r="G119" s="1">
        <v>7</v>
      </c>
      <c r="H119" s="1">
        <v>10</v>
      </c>
      <c r="I119" s="1" t="s">
        <v>354</v>
      </c>
      <c r="J119" s="1">
        <v>4</v>
      </c>
      <c r="K119" s="17" t="str">
        <f t="shared" si="1"/>
        <v>Mar</v>
      </c>
    </row>
    <row r="120" spans="1:11" x14ac:dyDescent="0.25">
      <c r="A120" s="16" t="s">
        <v>13</v>
      </c>
      <c r="B120" s="4" t="s">
        <v>86</v>
      </c>
      <c r="C120" s="1">
        <v>579</v>
      </c>
      <c r="D120" s="1" t="s">
        <v>341</v>
      </c>
      <c r="E120" s="1" t="s">
        <v>345</v>
      </c>
      <c r="F120" s="1" t="s">
        <v>349</v>
      </c>
      <c r="G120" s="1">
        <v>7</v>
      </c>
      <c r="H120" s="1">
        <v>8</v>
      </c>
      <c r="I120" s="1" t="s">
        <v>352</v>
      </c>
      <c r="J120" s="1">
        <v>4</v>
      </c>
      <c r="K120" s="17" t="str">
        <f t="shared" si="1"/>
        <v>Sep</v>
      </c>
    </row>
    <row r="121" spans="1:11" x14ac:dyDescent="0.25">
      <c r="A121" s="16" t="s">
        <v>11</v>
      </c>
      <c r="B121" s="4" t="s">
        <v>107</v>
      </c>
      <c r="C121" s="1">
        <v>1385</v>
      </c>
      <c r="D121" s="1" t="s">
        <v>340</v>
      </c>
      <c r="E121" s="1" t="s">
        <v>346</v>
      </c>
      <c r="F121" s="1" t="s">
        <v>349</v>
      </c>
      <c r="G121" s="1">
        <v>44</v>
      </c>
      <c r="H121" s="1">
        <v>2</v>
      </c>
      <c r="I121" s="1" t="s">
        <v>352</v>
      </c>
      <c r="J121" s="1">
        <v>0</v>
      </c>
      <c r="K121" s="17" t="str">
        <f t="shared" si="1"/>
        <v>Feb</v>
      </c>
    </row>
    <row r="122" spans="1:11" x14ac:dyDescent="0.25">
      <c r="A122" s="16" t="s">
        <v>12</v>
      </c>
      <c r="B122" s="4" t="s">
        <v>108</v>
      </c>
      <c r="C122" s="1">
        <v>1736</v>
      </c>
      <c r="D122" s="1" t="s">
        <v>342</v>
      </c>
      <c r="E122" s="1" t="s">
        <v>343</v>
      </c>
      <c r="F122" s="1" t="s">
        <v>349</v>
      </c>
      <c r="G122" s="1">
        <v>11</v>
      </c>
      <c r="H122" s="1">
        <v>9</v>
      </c>
      <c r="I122" s="1" t="s">
        <v>354</v>
      </c>
      <c r="J122" s="1">
        <v>2</v>
      </c>
      <c r="K122" s="17" t="str">
        <f t="shared" si="1"/>
        <v>Jul</v>
      </c>
    </row>
    <row r="123" spans="1:11" x14ac:dyDescent="0.25">
      <c r="A123" s="16" t="s">
        <v>11</v>
      </c>
      <c r="B123" s="1" t="s">
        <v>109</v>
      </c>
      <c r="C123" s="1">
        <v>702</v>
      </c>
      <c r="D123" s="1" t="s">
        <v>340</v>
      </c>
      <c r="E123" s="1" t="s">
        <v>343</v>
      </c>
      <c r="F123" s="1" t="s">
        <v>347</v>
      </c>
      <c r="G123" s="1">
        <v>47</v>
      </c>
      <c r="H123" s="1">
        <v>3</v>
      </c>
      <c r="I123" s="1" t="s">
        <v>353</v>
      </c>
      <c r="J123" s="1">
        <v>1</v>
      </c>
      <c r="K123" s="17" t="str">
        <f t="shared" si="1"/>
        <v>Mar</v>
      </c>
    </row>
    <row r="124" spans="1:11" x14ac:dyDescent="0.25">
      <c r="A124" s="16" t="s">
        <v>12</v>
      </c>
      <c r="B124" s="1" t="s">
        <v>32</v>
      </c>
      <c r="C124" s="1">
        <v>1263</v>
      </c>
      <c r="D124" s="1" t="s">
        <v>342</v>
      </c>
      <c r="E124" s="1" t="s">
        <v>343</v>
      </c>
      <c r="F124" s="1" t="s">
        <v>348</v>
      </c>
      <c r="G124" s="1">
        <v>32</v>
      </c>
      <c r="H124" s="1">
        <v>8</v>
      </c>
      <c r="I124" s="1" t="s">
        <v>353</v>
      </c>
      <c r="J124" s="1">
        <v>0</v>
      </c>
      <c r="K124" s="17" t="str">
        <f t="shared" si="1"/>
        <v>May</v>
      </c>
    </row>
    <row r="125" spans="1:11" x14ac:dyDescent="0.25">
      <c r="A125" s="16" t="s">
        <v>13</v>
      </c>
      <c r="B125" s="4" t="s">
        <v>110</v>
      </c>
      <c r="C125" s="1">
        <v>1752</v>
      </c>
      <c r="D125" s="1" t="s">
        <v>341</v>
      </c>
      <c r="E125" s="1" t="s">
        <v>345</v>
      </c>
      <c r="F125" s="1" t="s">
        <v>349</v>
      </c>
      <c r="G125" s="1">
        <v>44</v>
      </c>
      <c r="H125" s="1">
        <v>5</v>
      </c>
      <c r="I125" s="1" t="s">
        <v>354</v>
      </c>
      <c r="J125" s="1">
        <v>3</v>
      </c>
      <c r="K125" s="17" t="str">
        <f t="shared" si="1"/>
        <v>Dec</v>
      </c>
    </row>
    <row r="126" spans="1:11" x14ac:dyDescent="0.25">
      <c r="A126" s="16" t="s">
        <v>10</v>
      </c>
      <c r="B126" s="1" t="s">
        <v>111</v>
      </c>
      <c r="C126" s="1">
        <v>1750</v>
      </c>
      <c r="D126" s="1" t="s">
        <v>342</v>
      </c>
      <c r="E126" s="1" t="s">
        <v>346</v>
      </c>
      <c r="F126" s="1" t="s">
        <v>350</v>
      </c>
      <c r="G126" s="1">
        <v>25</v>
      </c>
      <c r="H126" s="1">
        <v>7</v>
      </c>
      <c r="I126" s="1" t="s">
        <v>351</v>
      </c>
      <c r="J126" s="1">
        <v>2</v>
      </c>
      <c r="K126" s="17" t="str">
        <f t="shared" si="1"/>
        <v>Oct</v>
      </c>
    </row>
    <row r="127" spans="1:11" x14ac:dyDescent="0.25">
      <c r="A127" s="16" t="s">
        <v>12</v>
      </c>
      <c r="B127" s="1" t="s">
        <v>112</v>
      </c>
      <c r="C127" s="1">
        <v>1964</v>
      </c>
      <c r="D127" s="1" t="s">
        <v>342</v>
      </c>
      <c r="E127" s="1" t="s">
        <v>346</v>
      </c>
      <c r="F127" s="1" t="s">
        <v>347</v>
      </c>
      <c r="G127" s="1">
        <v>38</v>
      </c>
      <c r="H127" s="1">
        <v>6</v>
      </c>
      <c r="I127" s="1" t="s">
        <v>352</v>
      </c>
      <c r="J127" s="1">
        <v>5</v>
      </c>
      <c r="K127" s="17" t="str">
        <f t="shared" si="1"/>
        <v>Jan</v>
      </c>
    </row>
    <row r="128" spans="1:11" x14ac:dyDescent="0.25">
      <c r="A128" s="16" t="s">
        <v>11</v>
      </c>
      <c r="B128" s="1" t="s">
        <v>113</v>
      </c>
      <c r="C128" s="1">
        <v>1925</v>
      </c>
      <c r="D128" s="1" t="s">
        <v>340</v>
      </c>
      <c r="E128" s="1" t="s">
        <v>344</v>
      </c>
      <c r="F128" s="1" t="s">
        <v>348</v>
      </c>
      <c r="G128" s="1">
        <v>27</v>
      </c>
      <c r="H128" s="1">
        <v>10</v>
      </c>
      <c r="I128" s="1" t="s">
        <v>351</v>
      </c>
      <c r="J128" s="1">
        <v>2</v>
      </c>
      <c r="K128" s="17" t="str">
        <f t="shared" si="1"/>
        <v>Oct</v>
      </c>
    </row>
    <row r="129" spans="1:11" x14ac:dyDescent="0.25">
      <c r="A129" s="16" t="s">
        <v>13</v>
      </c>
      <c r="B129" s="4" t="s">
        <v>114</v>
      </c>
      <c r="C129" s="1">
        <v>546</v>
      </c>
      <c r="D129" s="1" t="s">
        <v>340</v>
      </c>
      <c r="E129" s="1" t="s">
        <v>344</v>
      </c>
      <c r="F129" s="1" t="s">
        <v>349</v>
      </c>
      <c r="G129" s="1">
        <v>4</v>
      </c>
      <c r="H129" s="1">
        <v>1</v>
      </c>
      <c r="I129" s="1" t="s">
        <v>353</v>
      </c>
      <c r="J129" s="1">
        <v>3</v>
      </c>
      <c r="K129" s="17" t="str">
        <f t="shared" si="1"/>
        <v>May</v>
      </c>
    </row>
    <row r="130" spans="1:11" x14ac:dyDescent="0.25">
      <c r="A130" s="16" t="s">
        <v>12</v>
      </c>
      <c r="B130" s="1" t="s">
        <v>115</v>
      </c>
      <c r="C130" s="1">
        <v>1756</v>
      </c>
      <c r="D130" s="1" t="s">
        <v>342</v>
      </c>
      <c r="E130" s="1" t="s">
        <v>346</v>
      </c>
      <c r="F130" s="1" t="s">
        <v>350</v>
      </c>
      <c r="G130" s="1">
        <v>7</v>
      </c>
      <c r="H130" s="1">
        <v>2</v>
      </c>
      <c r="I130" s="1" t="s">
        <v>353</v>
      </c>
      <c r="J130" s="1">
        <v>3</v>
      </c>
      <c r="K130" s="17" t="str">
        <f t="shared" si="1"/>
        <v>Jul</v>
      </c>
    </row>
    <row r="131" spans="1:11" x14ac:dyDescent="0.25">
      <c r="A131" s="16" t="s">
        <v>11</v>
      </c>
      <c r="B131" s="1" t="s">
        <v>116</v>
      </c>
      <c r="C131" s="1">
        <v>1828</v>
      </c>
      <c r="D131" s="1" t="s">
        <v>340</v>
      </c>
      <c r="E131" s="1" t="s">
        <v>346</v>
      </c>
      <c r="F131" s="1" t="s">
        <v>348</v>
      </c>
      <c r="G131" s="1">
        <v>24</v>
      </c>
      <c r="H131" s="1">
        <v>0</v>
      </c>
      <c r="I131" s="1" t="s">
        <v>351</v>
      </c>
      <c r="J131" s="1">
        <v>3</v>
      </c>
      <c r="K131" s="17" t="str">
        <f t="shared" si="1"/>
        <v>May</v>
      </c>
    </row>
    <row r="132" spans="1:11" x14ac:dyDescent="0.25">
      <c r="A132" s="16" t="s">
        <v>11</v>
      </c>
      <c r="B132" s="1" t="s">
        <v>117</v>
      </c>
      <c r="C132" s="1">
        <v>1666</v>
      </c>
      <c r="D132" s="1" t="s">
        <v>341</v>
      </c>
      <c r="E132" s="1" t="s">
        <v>346</v>
      </c>
      <c r="F132" s="1" t="s">
        <v>348</v>
      </c>
      <c r="G132" s="1">
        <v>26</v>
      </c>
      <c r="H132" s="1">
        <v>8</v>
      </c>
      <c r="I132" s="1" t="s">
        <v>354</v>
      </c>
      <c r="J132" s="1">
        <v>1</v>
      </c>
      <c r="K132" s="17" t="str">
        <f t="shared" ref="K132:K195" si="2">TEXT(B132,"mmm")</f>
        <v>Sep</v>
      </c>
    </row>
    <row r="133" spans="1:11" x14ac:dyDescent="0.25">
      <c r="A133" s="16" t="s">
        <v>11</v>
      </c>
      <c r="B133" s="1" t="s">
        <v>105</v>
      </c>
      <c r="C133" s="1">
        <v>1938</v>
      </c>
      <c r="D133" s="1" t="s">
        <v>341</v>
      </c>
      <c r="E133" s="1" t="s">
        <v>345</v>
      </c>
      <c r="F133" s="1" t="s">
        <v>347</v>
      </c>
      <c r="G133" s="1">
        <v>45</v>
      </c>
      <c r="H133" s="1">
        <v>6</v>
      </c>
      <c r="I133" s="1" t="s">
        <v>351</v>
      </c>
      <c r="J133" s="1">
        <v>4</v>
      </c>
      <c r="K133" s="17" t="str">
        <f t="shared" si="2"/>
        <v>Oct</v>
      </c>
    </row>
    <row r="134" spans="1:11" x14ac:dyDescent="0.25">
      <c r="A134" s="16" t="s">
        <v>12</v>
      </c>
      <c r="B134" s="1" t="s">
        <v>118</v>
      </c>
      <c r="C134" s="1">
        <v>1896</v>
      </c>
      <c r="D134" s="1" t="s">
        <v>340</v>
      </c>
      <c r="E134" s="1" t="s">
        <v>346</v>
      </c>
      <c r="F134" s="1" t="s">
        <v>348</v>
      </c>
      <c r="G134" s="1">
        <v>22</v>
      </c>
      <c r="H134" s="1">
        <v>0</v>
      </c>
      <c r="I134" s="1" t="s">
        <v>351</v>
      </c>
      <c r="J134" s="1">
        <v>2</v>
      </c>
      <c r="K134" s="17" t="str">
        <f t="shared" si="2"/>
        <v>Oct</v>
      </c>
    </row>
    <row r="135" spans="1:11" x14ac:dyDescent="0.25">
      <c r="A135" s="16" t="s">
        <v>12</v>
      </c>
      <c r="B135" s="1" t="s">
        <v>119</v>
      </c>
      <c r="C135" s="1">
        <v>1782</v>
      </c>
      <c r="D135" s="1" t="s">
        <v>341</v>
      </c>
      <c r="E135" s="1" t="s">
        <v>344</v>
      </c>
      <c r="F135" s="1" t="s">
        <v>347</v>
      </c>
      <c r="G135" s="1">
        <v>29</v>
      </c>
      <c r="H135" s="1">
        <v>2</v>
      </c>
      <c r="I135" s="1" t="s">
        <v>352</v>
      </c>
      <c r="J135" s="1">
        <v>4</v>
      </c>
      <c r="K135" s="17" t="str">
        <f t="shared" si="2"/>
        <v>Sep</v>
      </c>
    </row>
    <row r="136" spans="1:11" x14ac:dyDescent="0.25">
      <c r="A136" s="16" t="s">
        <v>12</v>
      </c>
      <c r="B136" s="4" t="s">
        <v>120</v>
      </c>
      <c r="C136" s="1">
        <v>1155</v>
      </c>
      <c r="D136" s="1" t="s">
        <v>340</v>
      </c>
      <c r="E136" s="1" t="s">
        <v>345</v>
      </c>
      <c r="F136" s="1" t="s">
        <v>349</v>
      </c>
      <c r="G136" s="1">
        <v>44</v>
      </c>
      <c r="H136" s="1">
        <v>3</v>
      </c>
      <c r="I136" s="1" t="s">
        <v>352</v>
      </c>
      <c r="J136" s="1">
        <v>4</v>
      </c>
      <c r="K136" s="17" t="str">
        <f t="shared" si="2"/>
        <v>Nov</v>
      </c>
    </row>
    <row r="137" spans="1:11" x14ac:dyDescent="0.25">
      <c r="A137" s="16" t="s">
        <v>10</v>
      </c>
      <c r="B137" s="1" t="s">
        <v>121</v>
      </c>
      <c r="C137" s="1">
        <v>970</v>
      </c>
      <c r="D137" s="1" t="s">
        <v>342</v>
      </c>
      <c r="E137" s="1" t="s">
        <v>346</v>
      </c>
      <c r="F137" s="1" t="s">
        <v>347</v>
      </c>
      <c r="G137" s="1">
        <v>46</v>
      </c>
      <c r="H137" s="1">
        <v>3</v>
      </c>
      <c r="I137" s="1" t="s">
        <v>351</v>
      </c>
      <c r="J137" s="1">
        <v>5</v>
      </c>
      <c r="K137" s="17" t="str">
        <f t="shared" si="2"/>
        <v>Nov</v>
      </c>
    </row>
    <row r="138" spans="1:11" x14ac:dyDescent="0.25">
      <c r="A138" s="16" t="s">
        <v>12</v>
      </c>
      <c r="B138" s="1" t="s">
        <v>46</v>
      </c>
      <c r="C138" s="1">
        <v>1470</v>
      </c>
      <c r="D138" s="1" t="s">
        <v>342</v>
      </c>
      <c r="E138" s="1" t="s">
        <v>344</v>
      </c>
      <c r="F138" s="1" t="s">
        <v>350</v>
      </c>
      <c r="G138" s="1">
        <v>22</v>
      </c>
      <c r="H138" s="1">
        <v>4</v>
      </c>
      <c r="I138" s="1" t="s">
        <v>351</v>
      </c>
      <c r="J138" s="1">
        <v>3</v>
      </c>
      <c r="K138" s="17" t="str">
        <f t="shared" si="2"/>
        <v>Aug</v>
      </c>
    </row>
    <row r="139" spans="1:11" x14ac:dyDescent="0.25">
      <c r="A139" s="16" t="s">
        <v>12</v>
      </c>
      <c r="B139" s="1" t="s">
        <v>95</v>
      </c>
      <c r="C139" s="1">
        <v>1535</v>
      </c>
      <c r="D139" s="1" t="s">
        <v>341</v>
      </c>
      <c r="E139" s="1" t="s">
        <v>345</v>
      </c>
      <c r="F139" s="1" t="s">
        <v>347</v>
      </c>
      <c r="G139" s="1">
        <v>48</v>
      </c>
      <c r="H139" s="1">
        <v>2</v>
      </c>
      <c r="I139" s="1" t="s">
        <v>353</v>
      </c>
      <c r="J139" s="1">
        <v>1</v>
      </c>
      <c r="K139" s="17" t="str">
        <f t="shared" si="2"/>
        <v>Jan</v>
      </c>
    </row>
    <row r="140" spans="1:11" x14ac:dyDescent="0.25">
      <c r="A140" s="16" t="s">
        <v>12</v>
      </c>
      <c r="B140" s="1" t="s">
        <v>122</v>
      </c>
      <c r="C140" s="1">
        <v>1853</v>
      </c>
      <c r="D140" s="1" t="s">
        <v>340</v>
      </c>
      <c r="E140" s="1" t="s">
        <v>346</v>
      </c>
      <c r="F140" s="1" t="s">
        <v>350</v>
      </c>
      <c r="G140" s="1">
        <v>46</v>
      </c>
      <c r="H140" s="1">
        <v>2</v>
      </c>
      <c r="I140" s="1" t="s">
        <v>352</v>
      </c>
      <c r="J140" s="1">
        <v>5</v>
      </c>
      <c r="K140" s="17" t="str">
        <f t="shared" si="2"/>
        <v>Nov</v>
      </c>
    </row>
    <row r="141" spans="1:11" x14ac:dyDescent="0.25">
      <c r="A141" s="16" t="s">
        <v>10</v>
      </c>
      <c r="B141" s="1" t="s">
        <v>81</v>
      </c>
      <c r="C141" s="1">
        <v>1235</v>
      </c>
      <c r="D141" s="1" t="s">
        <v>340</v>
      </c>
      <c r="E141" s="1" t="s">
        <v>346</v>
      </c>
      <c r="F141" s="1" t="s">
        <v>347</v>
      </c>
      <c r="G141" s="1">
        <v>19</v>
      </c>
      <c r="H141" s="1">
        <v>0</v>
      </c>
      <c r="I141" s="1" t="s">
        <v>352</v>
      </c>
      <c r="J141" s="1">
        <v>0</v>
      </c>
      <c r="K141" s="17" t="str">
        <f t="shared" si="2"/>
        <v>Jan</v>
      </c>
    </row>
    <row r="142" spans="1:11" x14ac:dyDescent="0.25">
      <c r="A142" s="16" t="s">
        <v>12</v>
      </c>
      <c r="B142" s="1" t="s">
        <v>123</v>
      </c>
      <c r="C142" s="1">
        <v>1283</v>
      </c>
      <c r="D142" s="1" t="s">
        <v>341</v>
      </c>
      <c r="E142" s="1" t="s">
        <v>346</v>
      </c>
      <c r="F142" s="1" t="s">
        <v>348</v>
      </c>
      <c r="G142" s="1">
        <v>17</v>
      </c>
      <c r="H142" s="1">
        <v>6</v>
      </c>
      <c r="I142" s="1" t="s">
        <v>353</v>
      </c>
      <c r="J142" s="1">
        <v>1</v>
      </c>
      <c r="K142" s="17" t="str">
        <f t="shared" si="2"/>
        <v>Jun</v>
      </c>
    </row>
    <row r="143" spans="1:11" x14ac:dyDescent="0.25">
      <c r="A143" s="16" t="s">
        <v>11</v>
      </c>
      <c r="B143" s="4" t="s">
        <v>117</v>
      </c>
      <c r="C143" s="1">
        <v>1467</v>
      </c>
      <c r="D143" s="1" t="s">
        <v>342</v>
      </c>
      <c r="E143" s="1" t="s">
        <v>345</v>
      </c>
      <c r="F143" s="1" t="s">
        <v>349</v>
      </c>
      <c r="G143" s="1">
        <v>17</v>
      </c>
      <c r="H143" s="1">
        <v>10</v>
      </c>
      <c r="I143" s="1" t="s">
        <v>354</v>
      </c>
      <c r="J143" s="1">
        <v>4</v>
      </c>
      <c r="K143" s="17" t="str">
        <f t="shared" si="2"/>
        <v>Sep</v>
      </c>
    </row>
    <row r="144" spans="1:11" x14ac:dyDescent="0.25">
      <c r="A144" s="16" t="s">
        <v>12</v>
      </c>
      <c r="B144" s="1" t="s">
        <v>124</v>
      </c>
      <c r="C144" s="1">
        <v>857</v>
      </c>
      <c r="D144" s="1" t="s">
        <v>341</v>
      </c>
      <c r="E144" s="1" t="s">
        <v>344</v>
      </c>
      <c r="F144" s="1" t="s">
        <v>350</v>
      </c>
      <c r="G144" s="1">
        <v>1</v>
      </c>
      <c r="H144" s="1">
        <v>9</v>
      </c>
      <c r="I144" s="1" t="s">
        <v>352</v>
      </c>
      <c r="J144" s="1">
        <v>1</v>
      </c>
      <c r="K144" s="17" t="str">
        <f t="shared" si="2"/>
        <v>Mar</v>
      </c>
    </row>
    <row r="145" spans="1:11" x14ac:dyDescent="0.25">
      <c r="A145" s="16" t="s">
        <v>11</v>
      </c>
      <c r="B145" s="1" t="s">
        <v>125</v>
      </c>
      <c r="C145" s="1">
        <v>1471</v>
      </c>
      <c r="D145" s="1" t="s">
        <v>342</v>
      </c>
      <c r="E145" s="1" t="s">
        <v>344</v>
      </c>
      <c r="F145" s="1" t="s">
        <v>347</v>
      </c>
      <c r="G145" s="1">
        <v>3</v>
      </c>
      <c r="H145" s="1">
        <v>0</v>
      </c>
      <c r="I145" s="1" t="s">
        <v>352</v>
      </c>
      <c r="J145" s="1">
        <v>3</v>
      </c>
      <c r="K145" s="17" t="str">
        <f t="shared" si="2"/>
        <v>Mar</v>
      </c>
    </row>
    <row r="146" spans="1:11" x14ac:dyDescent="0.25">
      <c r="A146" s="16" t="s">
        <v>11</v>
      </c>
      <c r="B146" s="1" t="s">
        <v>126</v>
      </c>
      <c r="C146" s="1">
        <v>1931</v>
      </c>
      <c r="D146" s="1" t="s">
        <v>340</v>
      </c>
      <c r="E146" s="1" t="s">
        <v>343</v>
      </c>
      <c r="F146" s="1" t="s">
        <v>347</v>
      </c>
      <c r="G146" s="1">
        <v>29</v>
      </c>
      <c r="H146" s="1">
        <v>1</v>
      </c>
      <c r="I146" s="1" t="s">
        <v>354</v>
      </c>
      <c r="J146" s="1">
        <v>0</v>
      </c>
      <c r="K146" s="17" t="str">
        <f t="shared" si="2"/>
        <v>Feb</v>
      </c>
    </row>
    <row r="147" spans="1:11" x14ac:dyDescent="0.25">
      <c r="A147" s="16" t="s">
        <v>11</v>
      </c>
      <c r="B147" s="1" t="s">
        <v>127</v>
      </c>
      <c r="C147" s="1">
        <v>1167</v>
      </c>
      <c r="D147" s="1" t="s">
        <v>342</v>
      </c>
      <c r="E147" s="1" t="s">
        <v>346</v>
      </c>
      <c r="F147" s="1" t="s">
        <v>347</v>
      </c>
      <c r="G147" s="1">
        <v>32</v>
      </c>
      <c r="H147" s="1">
        <v>3</v>
      </c>
      <c r="I147" s="1" t="s">
        <v>352</v>
      </c>
      <c r="J147" s="1">
        <v>3</v>
      </c>
      <c r="K147" s="17" t="str">
        <f t="shared" si="2"/>
        <v>Apr</v>
      </c>
    </row>
    <row r="148" spans="1:11" x14ac:dyDescent="0.25">
      <c r="A148" s="16" t="s">
        <v>10</v>
      </c>
      <c r="B148" s="1" t="s">
        <v>128</v>
      </c>
      <c r="C148" s="1">
        <v>872</v>
      </c>
      <c r="D148" s="1" t="s">
        <v>341</v>
      </c>
      <c r="E148" s="1" t="s">
        <v>343</v>
      </c>
      <c r="F148" s="1" t="s">
        <v>348</v>
      </c>
      <c r="G148" s="1">
        <v>35</v>
      </c>
      <c r="H148" s="1">
        <v>3</v>
      </c>
      <c r="I148" s="1" t="s">
        <v>352</v>
      </c>
      <c r="J148" s="1">
        <v>0</v>
      </c>
      <c r="K148" s="17" t="str">
        <f t="shared" si="2"/>
        <v>Jun</v>
      </c>
    </row>
    <row r="149" spans="1:11" x14ac:dyDescent="0.25">
      <c r="A149" s="16" t="s">
        <v>10</v>
      </c>
      <c r="B149" s="1" t="s">
        <v>129</v>
      </c>
      <c r="C149" s="1">
        <v>1531</v>
      </c>
      <c r="D149" s="1" t="s">
        <v>340</v>
      </c>
      <c r="E149" s="1" t="s">
        <v>343</v>
      </c>
      <c r="F149" s="1" t="s">
        <v>348</v>
      </c>
      <c r="G149" s="1">
        <v>17</v>
      </c>
      <c r="H149" s="1">
        <v>4</v>
      </c>
      <c r="I149" s="1" t="s">
        <v>354</v>
      </c>
      <c r="J149" s="1">
        <v>5</v>
      </c>
      <c r="K149" s="17" t="str">
        <f t="shared" si="2"/>
        <v>Nov</v>
      </c>
    </row>
    <row r="150" spans="1:11" x14ac:dyDescent="0.25">
      <c r="A150" s="16" t="s">
        <v>10</v>
      </c>
      <c r="B150" s="1" t="s">
        <v>130</v>
      </c>
      <c r="C150" s="1">
        <v>1645</v>
      </c>
      <c r="D150" s="1" t="s">
        <v>341</v>
      </c>
      <c r="E150" s="1" t="s">
        <v>344</v>
      </c>
      <c r="F150" s="1" t="s">
        <v>350</v>
      </c>
      <c r="G150" s="1">
        <v>36</v>
      </c>
      <c r="H150" s="1">
        <v>10</v>
      </c>
      <c r="I150" s="1" t="s">
        <v>354</v>
      </c>
      <c r="J150" s="1">
        <v>4</v>
      </c>
      <c r="K150" s="17" t="str">
        <f t="shared" si="2"/>
        <v>Apr</v>
      </c>
    </row>
    <row r="151" spans="1:11" x14ac:dyDescent="0.25">
      <c r="A151" s="16" t="s">
        <v>12</v>
      </c>
      <c r="B151" s="1" t="s">
        <v>131</v>
      </c>
      <c r="C151" s="1">
        <v>1871</v>
      </c>
      <c r="D151" s="1" t="s">
        <v>341</v>
      </c>
      <c r="E151" s="1" t="s">
        <v>345</v>
      </c>
      <c r="F151" s="1" t="s">
        <v>350</v>
      </c>
      <c r="G151" s="1">
        <v>18</v>
      </c>
      <c r="H151" s="1">
        <v>1</v>
      </c>
      <c r="I151" s="1" t="s">
        <v>351</v>
      </c>
      <c r="J151" s="1">
        <v>0</v>
      </c>
      <c r="K151" s="17" t="str">
        <f t="shared" si="2"/>
        <v>Dec</v>
      </c>
    </row>
    <row r="152" spans="1:11" x14ac:dyDescent="0.25">
      <c r="A152" s="16" t="s">
        <v>11</v>
      </c>
      <c r="B152" s="1" t="s">
        <v>132</v>
      </c>
      <c r="C152" s="1">
        <v>1175</v>
      </c>
      <c r="D152" s="1" t="s">
        <v>342</v>
      </c>
      <c r="E152" s="1" t="s">
        <v>345</v>
      </c>
      <c r="F152" s="1" t="s">
        <v>348</v>
      </c>
      <c r="G152" s="1">
        <v>46</v>
      </c>
      <c r="H152" s="1">
        <v>3</v>
      </c>
      <c r="I152" s="1" t="s">
        <v>353</v>
      </c>
      <c r="J152" s="1">
        <v>0</v>
      </c>
      <c r="K152" s="17" t="str">
        <f t="shared" si="2"/>
        <v>Feb</v>
      </c>
    </row>
    <row r="153" spans="1:11" x14ac:dyDescent="0.25">
      <c r="A153" s="16" t="s">
        <v>10</v>
      </c>
      <c r="B153" s="1" t="s">
        <v>133</v>
      </c>
      <c r="C153" s="1">
        <v>589</v>
      </c>
      <c r="D153" s="1" t="s">
        <v>341</v>
      </c>
      <c r="E153" s="1" t="s">
        <v>344</v>
      </c>
      <c r="F153" s="1" t="s">
        <v>350</v>
      </c>
      <c r="G153" s="1">
        <v>27</v>
      </c>
      <c r="H153" s="1">
        <v>0</v>
      </c>
      <c r="I153" s="1" t="s">
        <v>353</v>
      </c>
      <c r="J153" s="1">
        <v>0</v>
      </c>
      <c r="K153" s="17" t="str">
        <f t="shared" si="2"/>
        <v>Mar</v>
      </c>
    </row>
    <row r="154" spans="1:11" x14ac:dyDescent="0.25">
      <c r="A154" s="16" t="s">
        <v>10</v>
      </c>
      <c r="B154" s="4" t="s">
        <v>134</v>
      </c>
      <c r="C154" s="1">
        <v>1197</v>
      </c>
      <c r="D154" s="1" t="s">
        <v>342</v>
      </c>
      <c r="E154" s="1" t="s">
        <v>345</v>
      </c>
      <c r="F154" s="1" t="s">
        <v>349</v>
      </c>
      <c r="G154" s="1">
        <v>39</v>
      </c>
      <c r="H154" s="1">
        <v>1</v>
      </c>
      <c r="I154" s="1" t="s">
        <v>354</v>
      </c>
      <c r="J154" s="1">
        <v>1</v>
      </c>
      <c r="K154" s="17" t="str">
        <f t="shared" si="2"/>
        <v>Jan</v>
      </c>
    </row>
    <row r="155" spans="1:11" x14ac:dyDescent="0.25">
      <c r="A155" s="16" t="s">
        <v>12</v>
      </c>
      <c r="B155" s="4" t="s">
        <v>135</v>
      </c>
      <c r="C155" s="1">
        <v>1839</v>
      </c>
      <c r="D155" s="1" t="s">
        <v>340</v>
      </c>
      <c r="E155" s="1" t="s">
        <v>343</v>
      </c>
      <c r="F155" s="1" t="s">
        <v>349</v>
      </c>
      <c r="G155" s="1">
        <v>19</v>
      </c>
      <c r="H155" s="1">
        <v>0</v>
      </c>
      <c r="I155" s="1" t="s">
        <v>354</v>
      </c>
      <c r="J155" s="1">
        <v>5</v>
      </c>
      <c r="K155" s="17" t="str">
        <f t="shared" si="2"/>
        <v>Aug</v>
      </c>
    </row>
    <row r="156" spans="1:11" x14ac:dyDescent="0.25">
      <c r="A156" s="16" t="s">
        <v>10</v>
      </c>
      <c r="B156" s="1" t="s">
        <v>84</v>
      </c>
      <c r="C156" s="1">
        <v>1701</v>
      </c>
      <c r="D156" s="1" t="s">
        <v>342</v>
      </c>
      <c r="E156" s="1" t="s">
        <v>346</v>
      </c>
      <c r="F156" s="1" t="s">
        <v>348</v>
      </c>
      <c r="G156" s="1">
        <v>48</v>
      </c>
      <c r="H156" s="1">
        <v>9</v>
      </c>
      <c r="I156" s="1" t="s">
        <v>352</v>
      </c>
      <c r="J156" s="1">
        <v>1</v>
      </c>
      <c r="K156" s="17" t="str">
        <f t="shared" si="2"/>
        <v>Feb</v>
      </c>
    </row>
    <row r="157" spans="1:11" x14ac:dyDescent="0.25">
      <c r="A157" s="16" t="s">
        <v>12</v>
      </c>
      <c r="B157" s="1" t="s">
        <v>127</v>
      </c>
      <c r="C157" s="1">
        <v>1039</v>
      </c>
      <c r="D157" s="1" t="s">
        <v>340</v>
      </c>
      <c r="E157" s="1" t="s">
        <v>344</v>
      </c>
      <c r="F157" s="1" t="s">
        <v>350</v>
      </c>
      <c r="G157" s="1">
        <v>32</v>
      </c>
      <c r="H157" s="1">
        <v>9</v>
      </c>
      <c r="I157" s="1" t="s">
        <v>351</v>
      </c>
      <c r="J157" s="1">
        <v>4</v>
      </c>
      <c r="K157" s="17" t="str">
        <f t="shared" si="2"/>
        <v>Apr</v>
      </c>
    </row>
    <row r="158" spans="1:11" x14ac:dyDescent="0.25">
      <c r="A158" s="16" t="s">
        <v>13</v>
      </c>
      <c r="B158" s="1" t="s">
        <v>136</v>
      </c>
      <c r="C158" s="1">
        <v>1231</v>
      </c>
      <c r="D158" s="1" t="s">
        <v>342</v>
      </c>
      <c r="E158" s="1" t="s">
        <v>346</v>
      </c>
      <c r="F158" s="1" t="s">
        <v>347</v>
      </c>
      <c r="G158" s="1">
        <v>11</v>
      </c>
      <c r="H158" s="1">
        <v>3</v>
      </c>
      <c r="I158" s="1" t="s">
        <v>351</v>
      </c>
      <c r="J158" s="1">
        <v>0</v>
      </c>
      <c r="K158" s="17" t="str">
        <f t="shared" si="2"/>
        <v>Jan</v>
      </c>
    </row>
    <row r="159" spans="1:11" x14ac:dyDescent="0.25">
      <c r="A159" s="16" t="s">
        <v>10</v>
      </c>
      <c r="B159" s="4" t="s">
        <v>137</v>
      </c>
      <c r="C159" s="1">
        <v>1368</v>
      </c>
      <c r="D159" s="1" t="s">
        <v>341</v>
      </c>
      <c r="E159" s="1" t="s">
        <v>345</v>
      </c>
      <c r="F159" s="1" t="s">
        <v>349</v>
      </c>
      <c r="G159" s="1">
        <v>50</v>
      </c>
      <c r="H159" s="1">
        <v>3</v>
      </c>
      <c r="I159" s="1" t="s">
        <v>354</v>
      </c>
      <c r="J159" s="1">
        <v>5</v>
      </c>
      <c r="K159" s="17" t="str">
        <f t="shared" si="2"/>
        <v>Oct</v>
      </c>
    </row>
    <row r="160" spans="1:11" x14ac:dyDescent="0.25">
      <c r="A160" s="16" t="s">
        <v>13</v>
      </c>
      <c r="B160" s="1" t="s">
        <v>138</v>
      </c>
      <c r="C160" s="1">
        <v>540</v>
      </c>
      <c r="D160" s="1" t="s">
        <v>342</v>
      </c>
      <c r="E160" s="1" t="s">
        <v>346</v>
      </c>
      <c r="F160" s="1" t="s">
        <v>348</v>
      </c>
      <c r="G160" s="1">
        <v>14</v>
      </c>
      <c r="H160" s="1">
        <v>6</v>
      </c>
      <c r="I160" s="1" t="s">
        <v>352</v>
      </c>
      <c r="J160" s="1">
        <v>5</v>
      </c>
      <c r="K160" s="17" t="str">
        <f t="shared" si="2"/>
        <v>Nov</v>
      </c>
    </row>
    <row r="161" spans="1:11" x14ac:dyDescent="0.25">
      <c r="A161" s="16" t="s">
        <v>12</v>
      </c>
      <c r="B161" s="1" t="s">
        <v>139</v>
      </c>
      <c r="C161" s="1">
        <v>1239</v>
      </c>
      <c r="D161" s="1" t="s">
        <v>342</v>
      </c>
      <c r="E161" s="1" t="s">
        <v>345</v>
      </c>
      <c r="F161" s="1" t="s">
        <v>350</v>
      </c>
      <c r="G161" s="1">
        <v>40</v>
      </c>
      <c r="H161" s="1">
        <v>9</v>
      </c>
      <c r="I161" s="1" t="s">
        <v>352</v>
      </c>
      <c r="J161" s="1">
        <v>2</v>
      </c>
      <c r="K161" s="17" t="str">
        <f t="shared" si="2"/>
        <v>Oct</v>
      </c>
    </row>
    <row r="162" spans="1:11" x14ac:dyDescent="0.25">
      <c r="A162" s="16" t="s">
        <v>11</v>
      </c>
      <c r="B162" s="1" t="s">
        <v>140</v>
      </c>
      <c r="C162" s="1">
        <v>1001</v>
      </c>
      <c r="D162" s="1" t="s">
        <v>340</v>
      </c>
      <c r="E162" s="1" t="s">
        <v>345</v>
      </c>
      <c r="F162" s="1" t="s">
        <v>348</v>
      </c>
      <c r="G162" s="1">
        <v>38</v>
      </c>
      <c r="H162" s="1">
        <v>10</v>
      </c>
      <c r="I162" s="1" t="s">
        <v>353</v>
      </c>
      <c r="J162" s="1">
        <v>4</v>
      </c>
      <c r="K162" s="17" t="str">
        <f t="shared" si="2"/>
        <v>Jun</v>
      </c>
    </row>
    <row r="163" spans="1:11" x14ac:dyDescent="0.25">
      <c r="A163" s="16" t="s">
        <v>10</v>
      </c>
      <c r="B163" s="1" t="s">
        <v>141</v>
      </c>
      <c r="C163" s="1">
        <v>1458</v>
      </c>
      <c r="D163" s="1" t="s">
        <v>341</v>
      </c>
      <c r="E163" s="1" t="s">
        <v>343</v>
      </c>
      <c r="F163" s="1" t="s">
        <v>347</v>
      </c>
      <c r="G163" s="1">
        <v>1</v>
      </c>
      <c r="H163" s="1">
        <v>10</v>
      </c>
      <c r="I163" s="1" t="s">
        <v>353</v>
      </c>
      <c r="J163" s="1">
        <v>5</v>
      </c>
      <c r="K163" s="17" t="str">
        <f t="shared" si="2"/>
        <v>Jul</v>
      </c>
    </row>
    <row r="164" spans="1:11" x14ac:dyDescent="0.25">
      <c r="A164" s="16" t="s">
        <v>12</v>
      </c>
      <c r="B164" s="4" t="s">
        <v>142</v>
      </c>
      <c r="C164" s="1">
        <v>1668</v>
      </c>
      <c r="D164" s="1" t="s">
        <v>342</v>
      </c>
      <c r="E164" s="1" t="s">
        <v>345</v>
      </c>
      <c r="F164" s="1" t="s">
        <v>349</v>
      </c>
      <c r="G164" s="1">
        <v>28</v>
      </c>
      <c r="H164" s="1">
        <v>8</v>
      </c>
      <c r="I164" s="1" t="s">
        <v>352</v>
      </c>
      <c r="J164" s="1">
        <v>0</v>
      </c>
      <c r="K164" s="17" t="str">
        <f t="shared" si="2"/>
        <v>Jul</v>
      </c>
    </row>
    <row r="165" spans="1:11" x14ac:dyDescent="0.25">
      <c r="A165" s="16" t="s">
        <v>11</v>
      </c>
      <c r="B165" s="1" t="s">
        <v>88</v>
      </c>
      <c r="C165" s="1">
        <v>1724</v>
      </c>
      <c r="D165" s="1" t="s">
        <v>341</v>
      </c>
      <c r="E165" s="1" t="s">
        <v>343</v>
      </c>
      <c r="F165" s="1" t="s">
        <v>348</v>
      </c>
      <c r="G165" s="1">
        <v>40</v>
      </c>
      <c r="H165" s="1">
        <v>8</v>
      </c>
      <c r="I165" s="1" t="s">
        <v>353</v>
      </c>
      <c r="J165" s="1">
        <v>0</v>
      </c>
      <c r="K165" s="17" t="str">
        <f t="shared" si="2"/>
        <v>Apr</v>
      </c>
    </row>
    <row r="166" spans="1:11" x14ac:dyDescent="0.25">
      <c r="A166" s="16" t="s">
        <v>11</v>
      </c>
      <c r="B166" s="1" t="s">
        <v>143</v>
      </c>
      <c r="C166" s="1">
        <v>1428</v>
      </c>
      <c r="D166" s="1" t="s">
        <v>342</v>
      </c>
      <c r="E166" s="1" t="s">
        <v>343</v>
      </c>
      <c r="F166" s="1" t="s">
        <v>348</v>
      </c>
      <c r="G166" s="1">
        <v>9</v>
      </c>
      <c r="H166" s="1">
        <v>4</v>
      </c>
      <c r="I166" s="1" t="s">
        <v>354</v>
      </c>
      <c r="J166" s="1">
        <v>5</v>
      </c>
      <c r="K166" s="17" t="str">
        <f t="shared" si="2"/>
        <v>Jul</v>
      </c>
    </row>
    <row r="167" spans="1:11" x14ac:dyDescent="0.25">
      <c r="A167" s="16" t="s">
        <v>13</v>
      </c>
      <c r="B167" s="1" t="s">
        <v>144</v>
      </c>
      <c r="C167" s="1">
        <v>960</v>
      </c>
      <c r="D167" s="1" t="s">
        <v>342</v>
      </c>
      <c r="E167" s="1" t="s">
        <v>343</v>
      </c>
      <c r="F167" s="1" t="s">
        <v>348</v>
      </c>
      <c r="G167" s="1">
        <v>1</v>
      </c>
      <c r="H167" s="1">
        <v>9</v>
      </c>
      <c r="I167" s="1" t="s">
        <v>352</v>
      </c>
      <c r="J167" s="1">
        <v>1</v>
      </c>
      <c r="K167" s="17" t="str">
        <f t="shared" si="2"/>
        <v>Oct</v>
      </c>
    </row>
    <row r="168" spans="1:11" x14ac:dyDescent="0.25">
      <c r="A168" s="16" t="s">
        <v>12</v>
      </c>
      <c r="B168" s="1" t="s">
        <v>106</v>
      </c>
      <c r="C168" s="1">
        <v>1231</v>
      </c>
      <c r="D168" s="1" t="s">
        <v>341</v>
      </c>
      <c r="E168" s="1" t="s">
        <v>344</v>
      </c>
      <c r="F168" s="1" t="s">
        <v>347</v>
      </c>
      <c r="G168" s="1">
        <v>50</v>
      </c>
      <c r="H168" s="1">
        <v>0</v>
      </c>
      <c r="I168" s="1" t="s">
        <v>353</v>
      </c>
      <c r="J168" s="1">
        <v>4</v>
      </c>
      <c r="K168" s="17" t="str">
        <f t="shared" si="2"/>
        <v>Mar</v>
      </c>
    </row>
    <row r="169" spans="1:11" x14ac:dyDescent="0.25">
      <c r="A169" s="16" t="s">
        <v>11</v>
      </c>
      <c r="B169" s="1" t="s">
        <v>145</v>
      </c>
      <c r="C169" s="1">
        <v>1251</v>
      </c>
      <c r="D169" s="1" t="s">
        <v>342</v>
      </c>
      <c r="E169" s="1" t="s">
        <v>344</v>
      </c>
      <c r="F169" s="1" t="s">
        <v>348</v>
      </c>
      <c r="G169" s="1">
        <v>10</v>
      </c>
      <c r="H169" s="1">
        <v>0</v>
      </c>
      <c r="I169" s="1" t="s">
        <v>351</v>
      </c>
      <c r="J169" s="1">
        <v>0</v>
      </c>
      <c r="K169" s="17" t="str">
        <f t="shared" si="2"/>
        <v>Aug</v>
      </c>
    </row>
    <row r="170" spans="1:11" x14ac:dyDescent="0.25">
      <c r="A170" s="16" t="s">
        <v>10</v>
      </c>
      <c r="B170" s="1" t="s">
        <v>60</v>
      </c>
      <c r="C170" s="1">
        <v>1424</v>
      </c>
      <c r="D170" s="1" t="s">
        <v>341</v>
      </c>
      <c r="E170" s="1" t="s">
        <v>345</v>
      </c>
      <c r="F170" s="1" t="s">
        <v>347</v>
      </c>
      <c r="G170" s="1">
        <v>12</v>
      </c>
      <c r="H170" s="1">
        <v>5</v>
      </c>
      <c r="I170" s="1" t="s">
        <v>352</v>
      </c>
      <c r="J170" s="1">
        <v>5</v>
      </c>
      <c r="K170" s="17" t="str">
        <f t="shared" si="2"/>
        <v>Aug</v>
      </c>
    </row>
    <row r="171" spans="1:11" x14ac:dyDescent="0.25">
      <c r="A171" s="16" t="s">
        <v>10</v>
      </c>
      <c r="B171" s="1" t="s">
        <v>64</v>
      </c>
      <c r="C171" s="1">
        <v>1408</v>
      </c>
      <c r="D171" s="1" t="s">
        <v>342</v>
      </c>
      <c r="E171" s="1" t="s">
        <v>343</v>
      </c>
      <c r="F171" s="1" t="s">
        <v>347</v>
      </c>
      <c r="G171" s="1">
        <v>9</v>
      </c>
      <c r="H171" s="1">
        <v>1</v>
      </c>
      <c r="I171" s="1" t="s">
        <v>352</v>
      </c>
      <c r="J171" s="1">
        <v>0</v>
      </c>
      <c r="K171" s="17" t="str">
        <f t="shared" si="2"/>
        <v>Jun</v>
      </c>
    </row>
    <row r="172" spans="1:11" x14ac:dyDescent="0.25">
      <c r="A172" s="16" t="s">
        <v>13</v>
      </c>
      <c r="B172" s="1" t="s">
        <v>146</v>
      </c>
      <c r="C172" s="1">
        <v>1776</v>
      </c>
      <c r="D172" s="1" t="s">
        <v>340</v>
      </c>
      <c r="E172" s="1" t="s">
        <v>344</v>
      </c>
      <c r="F172" s="1" t="s">
        <v>347</v>
      </c>
      <c r="G172" s="1">
        <v>13</v>
      </c>
      <c r="H172" s="1">
        <v>7</v>
      </c>
      <c r="I172" s="1" t="s">
        <v>351</v>
      </c>
      <c r="J172" s="1">
        <v>5</v>
      </c>
      <c r="K172" s="17" t="str">
        <f t="shared" si="2"/>
        <v>Jul</v>
      </c>
    </row>
    <row r="173" spans="1:11" x14ac:dyDescent="0.25">
      <c r="A173" s="16" t="s">
        <v>11</v>
      </c>
      <c r="B173" s="4" t="s">
        <v>147</v>
      </c>
      <c r="C173" s="1">
        <v>889</v>
      </c>
      <c r="D173" s="1" t="s">
        <v>341</v>
      </c>
      <c r="E173" s="1" t="s">
        <v>343</v>
      </c>
      <c r="F173" s="1" t="s">
        <v>349</v>
      </c>
      <c r="G173" s="1">
        <v>17</v>
      </c>
      <c r="H173" s="1">
        <v>8</v>
      </c>
      <c r="I173" s="1" t="s">
        <v>354</v>
      </c>
      <c r="J173" s="1">
        <v>4</v>
      </c>
      <c r="K173" s="17" t="str">
        <f t="shared" si="2"/>
        <v>Nov</v>
      </c>
    </row>
    <row r="174" spans="1:11" x14ac:dyDescent="0.25">
      <c r="A174" s="16" t="s">
        <v>12</v>
      </c>
      <c r="B174" s="4" t="s">
        <v>148</v>
      </c>
      <c r="C174" s="1">
        <v>1382</v>
      </c>
      <c r="D174" s="1" t="s">
        <v>342</v>
      </c>
      <c r="E174" s="1" t="s">
        <v>346</v>
      </c>
      <c r="F174" s="1" t="s">
        <v>349</v>
      </c>
      <c r="G174" s="1">
        <v>50</v>
      </c>
      <c r="H174" s="1">
        <v>3</v>
      </c>
      <c r="I174" s="1" t="s">
        <v>351</v>
      </c>
      <c r="J174" s="1">
        <v>5</v>
      </c>
      <c r="K174" s="17" t="str">
        <f t="shared" si="2"/>
        <v>May</v>
      </c>
    </row>
    <row r="175" spans="1:11" x14ac:dyDescent="0.25">
      <c r="A175" s="16" t="s">
        <v>10</v>
      </c>
      <c r="B175" s="1" t="s">
        <v>149</v>
      </c>
      <c r="C175" s="1">
        <v>755</v>
      </c>
      <c r="D175" s="1" t="s">
        <v>342</v>
      </c>
      <c r="E175" s="1" t="s">
        <v>346</v>
      </c>
      <c r="F175" s="1" t="s">
        <v>348</v>
      </c>
      <c r="G175" s="1">
        <v>8</v>
      </c>
      <c r="H175" s="1">
        <v>4</v>
      </c>
      <c r="I175" s="1" t="s">
        <v>352</v>
      </c>
      <c r="J175" s="1">
        <v>2</v>
      </c>
      <c r="K175" s="17" t="str">
        <f t="shared" si="2"/>
        <v>Mar</v>
      </c>
    </row>
    <row r="176" spans="1:11" x14ac:dyDescent="0.25">
      <c r="A176" s="16" t="s">
        <v>11</v>
      </c>
      <c r="B176" s="1" t="s">
        <v>150</v>
      </c>
      <c r="C176" s="1">
        <v>1208</v>
      </c>
      <c r="D176" s="1" t="s">
        <v>340</v>
      </c>
      <c r="E176" s="1" t="s">
        <v>346</v>
      </c>
      <c r="F176" s="1" t="s">
        <v>348</v>
      </c>
      <c r="G176" s="1">
        <v>38</v>
      </c>
      <c r="H176" s="1">
        <v>10</v>
      </c>
      <c r="I176" s="1" t="s">
        <v>354</v>
      </c>
      <c r="J176" s="1">
        <v>5</v>
      </c>
      <c r="K176" s="17" t="str">
        <f t="shared" si="2"/>
        <v>May</v>
      </c>
    </row>
    <row r="177" spans="1:11" x14ac:dyDescent="0.25">
      <c r="A177" s="16" t="s">
        <v>11</v>
      </c>
      <c r="B177" s="4" t="s">
        <v>151</v>
      </c>
      <c r="C177" s="1">
        <v>949</v>
      </c>
      <c r="D177" s="1" t="s">
        <v>341</v>
      </c>
      <c r="E177" s="1" t="s">
        <v>345</v>
      </c>
      <c r="F177" s="1" t="s">
        <v>349</v>
      </c>
      <c r="G177" s="1">
        <v>27</v>
      </c>
      <c r="H177" s="1">
        <v>7</v>
      </c>
      <c r="I177" s="1" t="s">
        <v>353</v>
      </c>
      <c r="J177" s="1">
        <v>5</v>
      </c>
      <c r="K177" s="17" t="str">
        <f t="shared" si="2"/>
        <v>Aug</v>
      </c>
    </row>
    <row r="178" spans="1:11" x14ac:dyDescent="0.25">
      <c r="A178" s="16" t="s">
        <v>13</v>
      </c>
      <c r="B178" s="1" t="s">
        <v>18</v>
      </c>
      <c r="C178" s="1">
        <v>509</v>
      </c>
      <c r="D178" s="1" t="s">
        <v>342</v>
      </c>
      <c r="E178" s="1" t="s">
        <v>343</v>
      </c>
      <c r="F178" s="1" t="s">
        <v>350</v>
      </c>
      <c r="G178" s="1">
        <v>2</v>
      </c>
      <c r="H178" s="1">
        <v>2</v>
      </c>
      <c r="I178" s="1" t="s">
        <v>353</v>
      </c>
      <c r="J178" s="1">
        <v>4</v>
      </c>
      <c r="K178" s="17" t="str">
        <f t="shared" si="2"/>
        <v>Jul</v>
      </c>
    </row>
    <row r="179" spans="1:11" x14ac:dyDescent="0.25">
      <c r="A179" s="16" t="s">
        <v>10</v>
      </c>
      <c r="B179" s="4" t="s">
        <v>152</v>
      </c>
      <c r="C179" s="1">
        <v>1323</v>
      </c>
      <c r="D179" s="1" t="s">
        <v>340</v>
      </c>
      <c r="E179" s="1" t="s">
        <v>346</v>
      </c>
      <c r="F179" s="1" t="s">
        <v>349</v>
      </c>
      <c r="G179" s="1">
        <v>19</v>
      </c>
      <c r="H179" s="1">
        <v>4</v>
      </c>
      <c r="I179" s="1" t="s">
        <v>353</v>
      </c>
      <c r="J179" s="1">
        <v>5</v>
      </c>
      <c r="K179" s="17" t="str">
        <f t="shared" si="2"/>
        <v>Mar</v>
      </c>
    </row>
    <row r="180" spans="1:11" x14ac:dyDescent="0.25">
      <c r="A180" s="16" t="s">
        <v>10</v>
      </c>
      <c r="B180" s="1" t="s">
        <v>153</v>
      </c>
      <c r="C180" s="1">
        <v>1297</v>
      </c>
      <c r="D180" s="1" t="s">
        <v>342</v>
      </c>
      <c r="E180" s="1" t="s">
        <v>344</v>
      </c>
      <c r="F180" s="1" t="s">
        <v>347</v>
      </c>
      <c r="G180" s="1">
        <v>5</v>
      </c>
      <c r="H180" s="1">
        <v>2</v>
      </c>
      <c r="I180" s="1" t="s">
        <v>352</v>
      </c>
      <c r="J180" s="1">
        <v>4</v>
      </c>
      <c r="K180" s="17" t="str">
        <f t="shared" si="2"/>
        <v>Oct</v>
      </c>
    </row>
    <row r="181" spans="1:11" x14ac:dyDescent="0.25">
      <c r="A181" s="16" t="s">
        <v>12</v>
      </c>
      <c r="B181" s="4" t="s">
        <v>44</v>
      </c>
      <c r="C181" s="1">
        <v>1765</v>
      </c>
      <c r="D181" s="1" t="s">
        <v>341</v>
      </c>
      <c r="E181" s="1" t="s">
        <v>346</v>
      </c>
      <c r="F181" s="1" t="s">
        <v>349</v>
      </c>
      <c r="G181" s="1">
        <v>26</v>
      </c>
      <c r="H181" s="1">
        <v>9</v>
      </c>
      <c r="I181" s="1" t="s">
        <v>351</v>
      </c>
      <c r="J181" s="1">
        <v>2</v>
      </c>
      <c r="K181" s="17" t="str">
        <f t="shared" si="2"/>
        <v>Dec</v>
      </c>
    </row>
    <row r="182" spans="1:11" x14ac:dyDescent="0.25">
      <c r="A182" s="16" t="s">
        <v>10</v>
      </c>
      <c r="B182" s="1" t="s">
        <v>130</v>
      </c>
      <c r="C182" s="1">
        <v>1774</v>
      </c>
      <c r="D182" s="1" t="s">
        <v>342</v>
      </c>
      <c r="E182" s="1" t="s">
        <v>346</v>
      </c>
      <c r="F182" s="1" t="s">
        <v>347</v>
      </c>
      <c r="G182" s="1">
        <v>1</v>
      </c>
      <c r="H182" s="1">
        <v>2</v>
      </c>
      <c r="I182" s="1" t="s">
        <v>354</v>
      </c>
      <c r="J182" s="1">
        <v>4</v>
      </c>
      <c r="K182" s="17" t="str">
        <f t="shared" si="2"/>
        <v>Apr</v>
      </c>
    </row>
    <row r="183" spans="1:11" x14ac:dyDescent="0.25">
      <c r="A183" s="16" t="s">
        <v>12</v>
      </c>
      <c r="B183" s="1" t="s">
        <v>154</v>
      </c>
      <c r="C183" s="1">
        <v>1376</v>
      </c>
      <c r="D183" s="1" t="s">
        <v>342</v>
      </c>
      <c r="E183" s="1" t="s">
        <v>346</v>
      </c>
      <c r="F183" s="1" t="s">
        <v>348</v>
      </c>
      <c r="G183" s="1">
        <v>28</v>
      </c>
      <c r="H183" s="1">
        <v>2</v>
      </c>
      <c r="I183" s="1" t="s">
        <v>353</v>
      </c>
      <c r="J183" s="1">
        <v>0</v>
      </c>
      <c r="K183" s="17" t="str">
        <f t="shared" si="2"/>
        <v>Sep</v>
      </c>
    </row>
    <row r="184" spans="1:11" x14ac:dyDescent="0.25">
      <c r="A184" s="16" t="s">
        <v>10</v>
      </c>
      <c r="B184" s="1" t="s">
        <v>155</v>
      </c>
      <c r="C184" s="1">
        <v>1528</v>
      </c>
      <c r="D184" s="1" t="s">
        <v>342</v>
      </c>
      <c r="E184" s="1" t="s">
        <v>345</v>
      </c>
      <c r="F184" s="1" t="s">
        <v>350</v>
      </c>
      <c r="G184" s="1">
        <v>37</v>
      </c>
      <c r="H184" s="1">
        <v>6</v>
      </c>
      <c r="I184" s="1" t="s">
        <v>354</v>
      </c>
      <c r="J184" s="1">
        <v>4</v>
      </c>
      <c r="K184" s="17" t="str">
        <f t="shared" si="2"/>
        <v>Mar</v>
      </c>
    </row>
    <row r="185" spans="1:11" x14ac:dyDescent="0.25">
      <c r="A185" s="16" t="s">
        <v>13</v>
      </c>
      <c r="B185" s="1" t="s">
        <v>156</v>
      </c>
      <c r="C185" s="1">
        <v>1642</v>
      </c>
      <c r="D185" s="1" t="s">
        <v>342</v>
      </c>
      <c r="E185" s="1" t="s">
        <v>344</v>
      </c>
      <c r="F185" s="1" t="s">
        <v>348</v>
      </c>
      <c r="G185" s="1">
        <v>2</v>
      </c>
      <c r="H185" s="1">
        <v>6</v>
      </c>
      <c r="I185" s="1" t="s">
        <v>352</v>
      </c>
      <c r="J185" s="1">
        <v>2</v>
      </c>
      <c r="K185" s="17" t="str">
        <f t="shared" si="2"/>
        <v>Feb</v>
      </c>
    </row>
    <row r="186" spans="1:11" x14ac:dyDescent="0.25">
      <c r="A186" s="16" t="s">
        <v>10</v>
      </c>
      <c r="B186" s="1" t="s">
        <v>157</v>
      </c>
      <c r="C186" s="1">
        <v>1515</v>
      </c>
      <c r="D186" s="1" t="s">
        <v>340</v>
      </c>
      <c r="E186" s="1" t="s">
        <v>343</v>
      </c>
      <c r="F186" s="1" t="s">
        <v>347</v>
      </c>
      <c r="G186" s="1">
        <v>15</v>
      </c>
      <c r="H186" s="1">
        <v>6</v>
      </c>
      <c r="I186" s="1" t="s">
        <v>353</v>
      </c>
      <c r="J186" s="1">
        <v>3</v>
      </c>
      <c r="K186" s="17" t="str">
        <f t="shared" si="2"/>
        <v>Jul</v>
      </c>
    </row>
    <row r="187" spans="1:11" x14ac:dyDescent="0.25">
      <c r="A187" s="16" t="s">
        <v>12</v>
      </c>
      <c r="B187" s="1" t="s">
        <v>158</v>
      </c>
      <c r="C187" s="1">
        <v>873</v>
      </c>
      <c r="D187" s="1" t="s">
        <v>340</v>
      </c>
      <c r="E187" s="1" t="s">
        <v>344</v>
      </c>
      <c r="F187" s="1" t="s">
        <v>347</v>
      </c>
      <c r="G187" s="1">
        <v>29</v>
      </c>
      <c r="H187" s="1">
        <v>9</v>
      </c>
      <c r="I187" s="1" t="s">
        <v>352</v>
      </c>
      <c r="J187" s="1">
        <v>5</v>
      </c>
      <c r="K187" s="17" t="str">
        <f t="shared" si="2"/>
        <v>Jun</v>
      </c>
    </row>
    <row r="188" spans="1:11" x14ac:dyDescent="0.25">
      <c r="A188" s="16" t="s">
        <v>12</v>
      </c>
      <c r="B188" s="1" t="s">
        <v>159</v>
      </c>
      <c r="C188" s="1">
        <v>1588</v>
      </c>
      <c r="D188" s="1" t="s">
        <v>341</v>
      </c>
      <c r="E188" s="1" t="s">
        <v>343</v>
      </c>
      <c r="F188" s="1" t="s">
        <v>347</v>
      </c>
      <c r="G188" s="1">
        <v>39</v>
      </c>
      <c r="H188" s="1">
        <v>7</v>
      </c>
      <c r="I188" s="1" t="s">
        <v>351</v>
      </c>
      <c r="J188" s="1">
        <v>4</v>
      </c>
      <c r="K188" s="17" t="str">
        <f t="shared" si="2"/>
        <v>Feb</v>
      </c>
    </row>
    <row r="189" spans="1:11" x14ac:dyDescent="0.25">
      <c r="A189" s="16" t="s">
        <v>13</v>
      </c>
      <c r="B189" s="1" t="s">
        <v>86</v>
      </c>
      <c r="C189" s="1">
        <v>645</v>
      </c>
      <c r="D189" s="1" t="s">
        <v>340</v>
      </c>
      <c r="E189" s="1" t="s">
        <v>345</v>
      </c>
      <c r="F189" s="1" t="s">
        <v>350</v>
      </c>
      <c r="G189" s="1">
        <v>1</v>
      </c>
      <c r="H189" s="1">
        <v>4</v>
      </c>
      <c r="I189" s="1" t="s">
        <v>352</v>
      </c>
      <c r="J189" s="1">
        <v>5</v>
      </c>
      <c r="K189" s="17" t="str">
        <f t="shared" si="2"/>
        <v>Sep</v>
      </c>
    </row>
    <row r="190" spans="1:11" x14ac:dyDescent="0.25">
      <c r="A190" s="16" t="s">
        <v>10</v>
      </c>
      <c r="B190" s="4" t="s">
        <v>160</v>
      </c>
      <c r="C190" s="1">
        <v>723</v>
      </c>
      <c r="D190" s="1" t="s">
        <v>340</v>
      </c>
      <c r="E190" s="1" t="s">
        <v>345</v>
      </c>
      <c r="F190" s="1" t="s">
        <v>349</v>
      </c>
      <c r="G190" s="1">
        <v>16</v>
      </c>
      <c r="H190" s="1">
        <v>4</v>
      </c>
      <c r="I190" s="1" t="s">
        <v>352</v>
      </c>
      <c r="J190" s="1">
        <v>1</v>
      </c>
      <c r="K190" s="17" t="str">
        <f t="shared" si="2"/>
        <v>Dec</v>
      </c>
    </row>
    <row r="191" spans="1:11" x14ac:dyDescent="0.25">
      <c r="A191" s="16" t="s">
        <v>10</v>
      </c>
      <c r="B191" s="1" t="s">
        <v>161</v>
      </c>
      <c r="C191" s="1">
        <v>1762</v>
      </c>
      <c r="D191" s="1" t="s">
        <v>341</v>
      </c>
      <c r="E191" s="1" t="s">
        <v>345</v>
      </c>
      <c r="F191" s="1" t="s">
        <v>348</v>
      </c>
      <c r="G191" s="1">
        <v>40</v>
      </c>
      <c r="H191" s="1">
        <v>3</v>
      </c>
      <c r="I191" s="1" t="s">
        <v>351</v>
      </c>
      <c r="J191" s="1">
        <v>0</v>
      </c>
      <c r="K191" s="17" t="str">
        <f t="shared" si="2"/>
        <v>Nov</v>
      </c>
    </row>
    <row r="192" spans="1:11" x14ac:dyDescent="0.25">
      <c r="A192" s="16" t="s">
        <v>13</v>
      </c>
      <c r="B192" s="1" t="s">
        <v>162</v>
      </c>
      <c r="C192" s="1">
        <v>676</v>
      </c>
      <c r="D192" s="1" t="s">
        <v>340</v>
      </c>
      <c r="E192" s="1" t="s">
        <v>345</v>
      </c>
      <c r="F192" s="1" t="s">
        <v>348</v>
      </c>
      <c r="G192" s="1">
        <v>11</v>
      </c>
      <c r="H192" s="1">
        <v>6</v>
      </c>
      <c r="I192" s="1" t="s">
        <v>354</v>
      </c>
      <c r="J192" s="1">
        <v>0</v>
      </c>
      <c r="K192" s="17" t="str">
        <f t="shared" si="2"/>
        <v>Feb</v>
      </c>
    </row>
    <row r="193" spans="1:11" x14ac:dyDescent="0.25">
      <c r="A193" s="16" t="s">
        <v>10</v>
      </c>
      <c r="B193" s="4" t="s">
        <v>163</v>
      </c>
      <c r="C193" s="1">
        <v>1352</v>
      </c>
      <c r="D193" s="1" t="s">
        <v>340</v>
      </c>
      <c r="E193" s="1" t="s">
        <v>343</v>
      </c>
      <c r="F193" s="1" t="s">
        <v>349</v>
      </c>
      <c r="G193" s="1">
        <v>34</v>
      </c>
      <c r="H193" s="1">
        <v>9</v>
      </c>
      <c r="I193" s="1" t="s">
        <v>351</v>
      </c>
      <c r="J193" s="1">
        <v>1</v>
      </c>
      <c r="K193" s="17" t="str">
        <f t="shared" si="2"/>
        <v>Dec</v>
      </c>
    </row>
    <row r="194" spans="1:11" x14ac:dyDescent="0.25">
      <c r="A194" s="16" t="s">
        <v>10</v>
      </c>
      <c r="B194" s="1" t="s">
        <v>164</v>
      </c>
      <c r="C194" s="1">
        <v>1805</v>
      </c>
      <c r="D194" s="1" t="s">
        <v>341</v>
      </c>
      <c r="E194" s="1" t="s">
        <v>346</v>
      </c>
      <c r="F194" s="1" t="s">
        <v>348</v>
      </c>
      <c r="G194" s="1">
        <v>42</v>
      </c>
      <c r="H194" s="1">
        <v>3</v>
      </c>
      <c r="I194" s="1" t="s">
        <v>351</v>
      </c>
      <c r="J194" s="1">
        <v>1</v>
      </c>
      <c r="K194" s="17" t="str">
        <f t="shared" si="2"/>
        <v>Jun</v>
      </c>
    </row>
    <row r="195" spans="1:11" x14ac:dyDescent="0.25">
      <c r="A195" s="16" t="s">
        <v>12</v>
      </c>
      <c r="B195" s="1" t="s">
        <v>165</v>
      </c>
      <c r="C195" s="1">
        <v>562</v>
      </c>
      <c r="D195" s="1" t="s">
        <v>341</v>
      </c>
      <c r="E195" s="1" t="s">
        <v>343</v>
      </c>
      <c r="F195" s="1" t="s">
        <v>350</v>
      </c>
      <c r="G195" s="1">
        <v>0</v>
      </c>
      <c r="H195" s="1">
        <v>1</v>
      </c>
      <c r="I195" s="1" t="s">
        <v>352</v>
      </c>
      <c r="J195" s="1">
        <v>4</v>
      </c>
      <c r="K195" s="17" t="str">
        <f t="shared" si="2"/>
        <v>Jan</v>
      </c>
    </row>
    <row r="196" spans="1:11" x14ac:dyDescent="0.25">
      <c r="A196" s="16" t="s">
        <v>10</v>
      </c>
      <c r="B196" s="1" t="s">
        <v>166</v>
      </c>
      <c r="C196" s="1">
        <v>1740</v>
      </c>
      <c r="D196" s="1" t="s">
        <v>341</v>
      </c>
      <c r="E196" s="1" t="s">
        <v>344</v>
      </c>
      <c r="F196" s="1" t="s">
        <v>348</v>
      </c>
      <c r="G196" s="1">
        <v>44</v>
      </c>
      <c r="H196" s="1">
        <v>3</v>
      </c>
      <c r="I196" s="1" t="s">
        <v>354</v>
      </c>
      <c r="J196" s="1">
        <v>1</v>
      </c>
      <c r="K196" s="17" t="str">
        <f t="shared" ref="K196:K259" si="3">TEXT(B196,"mmm")</f>
        <v>Feb</v>
      </c>
    </row>
    <row r="197" spans="1:11" x14ac:dyDescent="0.25">
      <c r="A197" s="16" t="s">
        <v>10</v>
      </c>
      <c r="B197" s="1" t="s">
        <v>167</v>
      </c>
      <c r="C197" s="1">
        <v>1326</v>
      </c>
      <c r="D197" s="1" t="s">
        <v>342</v>
      </c>
      <c r="E197" s="1" t="s">
        <v>345</v>
      </c>
      <c r="F197" s="1" t="s">
        <v>347</v>
      </c>
      <c r="G197" s="1">
        <v>14</v>
      </c>
      <c r="H197" s="1">
        <v>7</v>
      </c>
      <c r="I197" s="1" t="s">
        <v>353</v>
      </c>
      <c r="J197" s="1">
        <v>3</v>
      </c>
      <c r="K197" s="17" t="str">
        <f t="shared" si="3"/>
        <v>Jul</v>
      </c>
    </row>
    <row r="198" spans="1:11" x14ac:dyDescent="0.25">
      <c r="A198" s="16" t="s">
        <v>13</v>
      </c>
      <c r="B198" s="4" t="s">
        <v>168</v>
      </c>
      <c r="C198" s="1">
        <v>1294</v>
      </c>
      <c r="D198" s="1" t="s">
        <v>342</v>
      </c>
      <c r="E198" s="1" t="s">
        <v>345</v>
      </c>
      <c r="F198" s="1" t="s">
        <v>349</v>
      </c>
      <c r="G198" s="1">
        <v>25</v>
      </c>
      <c r="H198" s="1">
        <v>8</v>
      </c>
      <c r="I198" s="1" t="s">
        <v>351</v>
      </c>
      <c r="J198" s="1">
        <v>5</v>
      </c>
      <c r="K198" s="17" t="str">
        <f t="shared" si="3"/>
        <v>Dec</v>
      </c>
    </row>
    <row r="199" spans="1:11" x14ac:dyDescent="0.25">
      <c r="A199" s="16" t="s">
        <v>13</v>
      </c>
      <c r="B199" s="1" t="s">
        <v>169</v>
      </c>
      <c r="C199" s="1">
        <v>1188</v>
      </c>
      <c r="D199" s="1" t="s">
        <v>341</v>
      </c>
      <c r="E199" s="1" t="s">
        <v>344</v>
      </c>
      <c r="F199" s="1" t="s">
        <v>350</v>
      </c>
      <c r="G199" s="1">
        <v>36</v>
      </c>
      <c r="H199" s="1">
        <v>2</v>
      </c>
      <c r="I199" s="1" t="s">
        <v>354</v>
      </c>
      <c r="J199" s="1">
        <v>5</v>
      </c>
      <c r="K199" s="17" t="str">
        <f t="shared" si="3"/>
        <v>Dec</v>
      </c>
    </row>
    <row r="200" spans="1:11" x14ac:dyDescent="0.25">
      <c r="A200" s="16" t="s">
        <v>11</v>
      </c>
      <c r="B200" s="4" t="s">
        <v>170</v>
      </c>
      <c r="C200" s="1">
        <v>1984</v>
      </c>
      <c r="D200" s="1" t="s">
        <v>341</v>
      </c>
      <c r="E200" s="1" t="s">
        <v>343</v>
      </c>
      <c r="F200" s="1" t="s">
        <v>349</v>
      </c>
      <c r="G200" s="1">
        <v>20</v>
      </c>
      <c r="H200" s="1">
        <v>6</v>
      </c>
      <c r="I200" s="1" t="s">
        <v>351</v>
      </c>
      <c r="J200" s="1">
        <v>2</v>
      </c>
      <c r="K200" s="17" t="str">
        <f t="shared" si="3"/>
        <v>Mar</v>
      </c>
    </row>
    <row r="201" spans="1:11" x14ac:dyDescent="0.25">
      <c r="A201" s="16" t="s">
        <v>12</v>
      </c>
      <c r="B201" s="1" t="s">
        <v>171</v>
      </c>
      <c r="C201" s="1">
        <v>604</v>
      </c>
      <c r="D201" s="1" t="s">
        <v>341</v>
      </c>
      <c r="E201" s="1" t="s">
        <v>346</v>
      </c>
      <c r="F201" s="1" t="s">
        <v>350</v>
      </c>
      <c r="G201" s="1">
        <v>48</v>
      </c>
      <c r="H201" s="1">
        <v>8</v>
      </c>
      <c r="I201" s="1" t="s">
        <v>351</v>
      </c>
      <c r="J201" s="1">
        <v>1</v>
      </c>
      <c r="K201" s="17" t="str">
        <f t="shared" si="3"/>
        <v>Jun</v>
      </c>
    </row>
    <row r="202" spans="1:11" x14ac:dyDescent="0.25">
      <c r="A202" s="16" t="s">
        <v>10</v>
      </c>
      <c r="B202" s="1" t="s">
        <v>172</v>
      </c>
      <c r="C202" s="1">
        <v>1622</v>
      </c>
      <c r="D202" s="1" t="s">
        <v>342</v>
      </c>
      <c r="E202" s="1" t="s">
        <v>346</v>
      </c>
      <c r="F202" s="1" t="s">
        <v>347</v>
      </c>
      <c r="G202" s="1">
        <v>30</v>
      </c>
      <c r="H202" s="1">
        <v>10</v>
      </c>
      <c r="I202" s="1" t="s">
        <v>351</v>
      </c>
      <c r="J202" s="1">
        <v>1</v>
      </c>
      <c r="K202" s="17" t="str">
        <f t="shared" si="3"/>
        <v>Apr</v>
      </c>
    </row>
    <row r="203" spans="1:11" x14ac:dyDescent="0.25">
      <c r="A203" s="16" t="s">
        <v>10</v>
      </c>
      <c r="B203" s="4" t="s">
        <v>173</v>
      </c>
      <c r="C203" s="1">
        <v>1010</v>
      </c>
      <c r="D203" s="1" t="s">
        <v>342</v>
      </c>
      <c r="E203" s="1" t="s">
        <v>344</v>
      </c>
      <c r="F203" s="1" t="s">
        <v>349</v>
      </c>
      <c r="G203" s="1">
        <v>24</v>
      </c>
      <c r="H203" s="1">
        <v>3</v>
      </c>
      <c r="I203" s="1" t="s">
        <v>351</v>
      </c>
      <c r="J203" s="1">
        <v>3</v>
      </c>
      <c r="K203" s="17" t="str">
        <f t="shared" si="3"/>
        <v>Jan</v>
      </c>
    </row>
    <row r="204" spans="1:11" x14ac:dyDescent="0.25">
      <c r="A204" s="16" t="s">
        <v>11</v>
      </c>
      <c r="B204" s="1" t="s">
        <v>174</v>
      </c>
      <c r="C204" s="1">
        <v>884</v>
      </c>
      <c r="D204" s="1" t="s">
        <v>340</v>
      </c>
      <c r="E204" s="1" t="s">
        <v>346</v>
      </c>
      <c r="F204" s="1" t="s">
        <v>348</v>
      </c>
      <c r="G204" s="1">
        <v>22</v>
      </c>
      <c r="H204" s="1">
        <v>9</v>
      </c>
      <c r="I204" s="1" t="s">
        <v>352</v>
      </c>
      <c r="J204" s="1">
        <v>0</v>
      </c>
      <c r="K204" s="17" t="str">
        <f t="shared" si="3"/>
        <v>Aug</v>
      </c>
    </row>
    <row r="205" spans="1:11" x14ac:dyDescent="0.25">
      <c r="A205" s="16" t="s">
        <v>10</v>
      </c>
      <c r="B205" s="1" t="s">
        <v>103</v>
      </c>
      <c r="C205" s="1">
        <v>904</v>
      </c>
      <c r="D205" s="1" t="s">
        <v>340</v>
      </c>
      <c r="E205" s="1" t="s">
        <v>343</v>
      </c>
      <c r="F205" s="1" t="s">
        <v>350</v>
      </c>
      <c r="G205" s="1">
        <v>23</v>
      </c>
      <c r="H205" s="1">
        <v>2</v>
      </c>
      <c r="I205" s="1" t="s">
        <v>354</v>
      </c>
      <c r="J205" s="1">
        <v>0</v>
      </c>
      <c r="K205" s="17" t="str">
        <f t="shared" si="3"/>
        <v>Nov</v>
      </c>
    </row>
    <row r="206" spans="1:11" x14ac:dyDescent="0.25">
      <c r="A206" s="16" t="s">
        <v>12</v>
      </c>
      <c r="B206" s="4" t="s">
        <v>175</v>
      </c>
      <c r="C206" s="1">
        <v>1322</v>
      </c>
      <c r="D206" s="1" t="s">
        <v>341</v>
      </c>
      <c r="E206" s="1" t="s">
        <v>343</v>
      </c>
      <c r="F206" s="1" t="s">
        <v>349</v>
      </c>
      <c r="G206" s="1">
        <v>37</v>
      </c>
      <c r="H206" s="1">
        <v>4</v>
      </c>
      <c r="I206" s="1" t="s">
        <v>354</v>
      </c>
      <c r="J206" s="1">
        <v>5</v>
      </c>
      <c r="K206" s="17" t="str">
        <f t="shared" si="3"/>
        <v>Nov</v>
      </c>
    </row>
    <row r="207" spans="1:11" x14ac:dyDescent="0.25">
      <c r="A207" s="16" t="s">
        <v>11</v>
      </c>
      <c r="B207" s="1" t="s">
        <v>87</v>
      </c>
      <c r="C207" s="1">
        <v>1017</v>
      </c>
      <c r="D207" s="1" t="s">
        <v>342</v>
      </c>
      <c r="E207" s="1" t="s">
        <v>344</v>
      </c>
      <c r="F207" s="1" t="s">
        <v>348</v>
      </c>
      <c r="G207" s="1">
        <v>27</v>
      </c>
      <c r="H207" s="1">
        <v>0</v>
      </c>
      <c r="I207" s="1" t="s">
        <v>354</v>
      </c>
      <c r="J207" s="1">
        <v>5</v>
      </c>
      <c r="K207" s="17" t="str">
        <f t="shared" si="3"/>
        <v>Jan</v>
      </c>
    </row>
    <row r="208" spans="1:11" x14ac:dyDescent="0.25">
      <c r="A208" s="16" t="s">
        <v>12</v>
      </c>
      <c r="B208" s="4" t="s">
        <v>176</v>
      </c>
      <c r="C208" s="1">
        <v>975</v>
      </c>
      <c r="D208" s="1" t="s">
        <v>342</v>
      </c>
      <c r="E208" s="1" t="s">
        <v>343</v>
      </c>
      <c r="F208" s="1" t="s">
        <v>349</v>
      </c>
      <c r="G208" s="1">
        <v>20</v>
      </c>
      <c r="H208" s="1">
        <v>2</v>
      </c>
      <c r="I208" s="1" t="s">
        <v>351</v>
      </c>
      <c r="J208" s="1">
        <v>4</v>
      </c>
      <c r="K208" s="17" t="str">
        <f t="shared" si="3"/>
        <v>Oct</v>
      </c>
    </row>
    <row r="209" spans="1:11" x14ac:dyDescent="0.25">
      <c r="A209" s="16" t="s">
        <v>11</v>
      </c>
      <c r="B209" s="4" t="s">
        <v>177</v>
      </c>
      <c r="C209" s="1">
        <v>1208</v>
      </c>
      <c r="D209" s="1" t="s">
        <v>342</v>
      </c>
      <c r="E209" s="1" t="s">
        <v>345</v>
      </c>
      <c r="F209" s="1" t="s">
        <v>349</v>
      </c>
      <c r="G209" s="1">
        <v>42</v>
      </c>
      <c r="H209" s="1">
        <v>7</v>
      </c>
      <c r="I209" s="1" t="s">
        <v>352</v>
      </c>
      <c r="J209" s="1">
        <v>3</v>
      </c>
      <c r="K209" s="17" t="str">
        <f t="shared" si="3"/>
        <v>Dec</v>
      </c>
    </row>
    <row r="210" spans="1:11" x14ac:dyDescent="0.25">
      <c r="A210" s="16" t="s">
        <v>11</v>
      </c>
      <c r="B210" s="4" t="s">
        <v>27</v>
      </c>
      <c r="C210" s="1">
        <v>1270</v>
      </c>
      <c r="D210" s="1" t="s">
        <v>341</v>
      </c>
      <c r="E210" s="1" t="s">
        <v>344</v>
      </c>
      <c r="F210" s="1" t="s">
        <v>349</v>
      </c>
      <c r="G210" s="1">
        <v>17</v>
      </c>
      <c r="H210" s="1">
        <v>10</v>
      </c>
      <c r="I210" s="1" t="s">
        <v>351</v>
      </c>
      <c r="J210" s="1">
        <v>2</v>
      </c>
      <c r="K210" s="17" t="str">
        <f t="shared" si="3"/>
        <v>Aug</v>
      </c>
    </row>
    <row r="211" spans="1:11" x14ac:dyDescent="0.25">
      <c r="A211" s="16" t="s">
        <v>13</v>
      </c>
      <c r="B211" s="1" t="s">
        <v>111</v>
      </c>
      <c r="C211" s="1">
        <v>1960</v>
      </c>
      <c r="D211" s="1" t="s">
        <v>340</v>
      </c>
      <c r="E211" s="1" t="s">
        <v>343</v>
      </c>
      <c r="F211" s="1" t="s">
        <v>350</v>
      </c>
      <c r="G211" s="1">
        <v>35</v>
      </c>
      <c r="H211" s="1">
        <v>7</v>
      </c>
      <c r="I211" s="1" t="s">
        <v>351</v>
      </c>
      <c r="J211" s="1">
        <v>2</v>
      </c>
      <c r="K211" s="17" t="str">
        <f t="shared" si="3"/>
        <v>Oct</v>
      </c>
    </row>
    <row r="212" spans="1:11" x14ac:dyDescent="0.25">
      <c r="A212" s="16" t="s">
        <v>12</v>
      </c>
      <c r="B212" s="1" t="s">
        <v>16</v>
      </c>
      <c r="C212" s="1">
        <v>1546</v>
      </c>
      <c r="D212" s="1" t="s">
        <v>341</v>
      </c>
      <c r="E212" s="1" t="s">
        <v>344</v>
      </c>
      <c r="F212" s="1" t="s">
        <v>348</v>
      </c>
      <c r="G212" s="1">
        <v>34</v>
      </c>
      <c r="H212" s="1">
        <v>3</v>
      </c>
      <c r="I212" s="1" t="s">
        <v>354</v>
      </c>
      <c r="J212" s="1">
        <v>3</v>
      </c>
      <c r="K212" s="17" t="str">
        <f t="shared" si="3"/>
        <v>Jan</v>
      </c>
    </row>
    <row r="213" spans="1:11" x14ac:dyDescent="0.25">
      <c r="A213" s="16" t="s">
        <v>10</v>
      </c>
      <c r="B213" s="1" t="s">
        <v>178</v>
      </c>
      <c r="C213" s="1">
        <v>1496</v>
      </c>
      <c r="D213" s="1" t="s">
        <v>340</v>
      </c>
      <c r="E213" s="1" t="s">
        <v>346</v>
      </c>
      <c r="F213" s="1" t="s">
        <v>347</v>
      </c>
      <c r="G213" s="1">
        <v>44</v>
      </c>
      <c r="H213" s="1">
        <v>1</v>
      </c>
      <c r="I213" s="1" t="s">
        <v>351</v>
      </c>
      <c r="J213" s="1">
        <v>2</v>
      </c>
      <c r="K213" s="17" t="str">
        <f t="shared" si="3"/>
        <v>Apr</v>
      </c>
    </row>
    <row r="214" spans="1:11" x14ac:dyDescent="0.25">
      <c r="A214" s="16" t="s">
        <v>10</v>
      </c>
      <c r="B214" s="1" t="s">
        <v>179</v>
      </c>
      <c r="C214" s="1">
        <v>1176</v>
      </c>
      <c r="D214" s="1" t="s">
        <v>340</v>
      </c>
      <c r="E214" s="1" t="s">
        <v>343</v>
      </c>
      <c r="F214" s="1" t="s">
        <v>350</v>
      </c>
      <c r="G214" s="1">
        <v>8</v>
      </c>
      <c r="H214" s="1">
        <v>7</v>
      </c>
      <c r="I214" s="1" t="s">
        <v>353</v>
      </c>
      <c r="J214" s="1">
        <v>0</v>
      </c>
      <c r="K214" s="17" t="str">
        <f t="shared" si="3"/>
        <v>Sep</v>
      </c>
    </row>
    <row r="215" spans="1:11" x14ac:dyDescent="0.25">
      <c r="A215" s="16" t="s">
        <v>12</v>
      </c>
      <c r="B215" s="1" t="s">
        <v>121</v>
      </c>
      <c r="C215" s="1">
        <v>1213</v>
      </c>
      <c r="D215" s="1" t="s">
        <v>341</v>
      </c>
      <c r="E215" s="1" t="s">
        <v>345</v>
      </c>
      <c r="F215" s="1" t="s">
        <v>350</v>
      </c>
      <c r="G215" s="1">
        <v>37</v>
      </c>
      <c r="H215" s="1">
        <v>7</v>
      </c>
      <c r="I215" s="1" t="s">
        <v>351</v>
      </c>
      <c r="J215" s="1">
        <v>2</v>
      </c>
      <c r="K215" s="17" t="str">
        <f t="shared" si="3"/>
        <v>Nov</v>
      </c>
    </row>
    <row r="216" spans="1:11" x14ac:dyDescent="0.25">
      <c r="A216" s="16" t="s">
        <v>10</v>
      </c>
      <c r="B216" s="1" t="s">
        <v>180</v>
      </c>
      <c r="C216" s="1">
        <v>1981</v>
      </c>
      <c r="D216" s="1" t="s">
        <v>340</v>
      </c>
      <c r="E216" s="1" t="s">
        <v>343</v>
      </c>
      <c r="F216" s="1" t="s">
        <v>350</v>
      </c>
      <c r="G216" s="1">
        <v>29</v>
      </c>
      <c r="H216" s="1">
        <v>9</v>
      </c>
      <c r="I216" s="1" t="s">
        <v>353</v>
      </c>
      <c r="J216" s="1">
        <v>2</v>
      </c>
      <c r="K216" s="17" t="str">
        <f t="shared" si="3"/>
        <v>May</v>
      </c>
    </row>
    <row r="217" spans="1:11" x14ac:dyDescent="0.25">
      <c r="A217" s="16" t="s">
        <v>10</v>
      </c>
      <c r="B217" s="1" t="s">
        <v>181</v>
      </c>
      <c r="C217" s="1">
        <v>582</v>
      </c>
      <c r="D217" s="1" t="s">
        <v>340</v>
      </c>
      <c r="E217" s="1" t="s">
        <v>344</v>
      </c>
      <c r="F217" s="1" t="s">
        <v>347</v>
      </c>
      <c r="G217" s="1">
        <v>43</v>
      </c>
      <c r="H217" s="1">
        <v>3</v>
      </c>
      <c r="I217" s="1" t="s">
        <v>351</v>
      </c>
      <c r="J217" s="1">
        <v>3</v>
      </c>
      <c r="K217" s="17" t="str">
        <f t="shared" si="3"/>
        <v>Apr</v>
      </c>
    </row>
    <row r="218" spans="1:11" x14ac:dyDescent="0.25">
      <c r="A218" s="16" t="s">
        <v>12</v>
      </c>
      <c r="B218" s="1" t="s">
        <v>182</v>
      </c>
      <c r="C218" s="1">
        <v>1668</v>
      </c>
      <c r="D218" s="1" t="s">
        <v>342</v>
      </c>
      <c r="E218" s="1" t="s">
        <v>344</v>
      </c>
      <c r="F218" s="1" t="s">
        <v>348</v>
      </c>
      <c r="G218" s="1">
        <v>33</v>
      </c>
      <c r="H218" s="1">
        <v>2</v>
      </c>
      <c r="I218" s="1" t="s">
        <v>352</v>
      </c>
      <c r="J218" s="1">
        <v>3</v>
      </c>
      <c r="K218" s="17" t="str">
        <f t="shared" si="3"/>
        <v>Dec</v>
      </c>
    </row>
    <row r="219" spans="1:11" x14ac:dyDescent="0.25">
      <c r="A219" s="16" t="s">
        <v>11</v>
      </c>
      <c r="B219" s="1" t="s">
        <v>183</v>
      </c>
      <c r="C219" s="1">
        <v>1608</v>
      </c>
      <c r="D219" s="1" t="s">
        <v>340</v>
      </c>
      <c r="E219" s="1" t="s">
        <v>343</v>
      </c>
      <c r="F219" s="1" t="s">
        <v>348</v>
      </c>
      <c r="G219" s="1">
        <v>31</v>
      </c>
      <c r="H219" s="1">
        <v>1</v>
      </c>
      <c r="I219" s="1" t="s">
        <v>352</v>
      </c>
      <c r="J219" s="1">
        <v>2</v>
      </c>
      <c r="K219" s="17" t="str">
        <f t="shared" si="3"/>
        <v>Oct</v>
      </c>
    </row>
    <row r="220" spans="1:11" x14ac:dyDescent="0.25">
      <c r="A220" s="16" t="s">
        <v>12</v>
      </c>
      <c r="B220" s="1" t="s">
        <v>80</v>
      </c>
      <c r="C220" s="1">
        <v>1601</v>
      </c>
      <c r="D220" s="1" t="s">
        <v>341</v>
      </c>
      <c r="E220" s="1" t="s">
        <v>345</v>
      </c>
      <c r="F220" s="1" t="s">
        <v>348</v>
      </c>
      <c r="G220" s="1">
        <v>2</v>
      </c>
      <c r="H220" s="1">
        <v>8</v>
      </c>
      <c r="I220" s="1" t="s">
        <v>354</v>
      </c>
      <c r="J220" s="1">
        <v>1</v>
      </c>
      <c r="K220" s="17" t="str">
        <f t="shared" si="3"/>
        <v>Mar</v>
      </c>
    </row>
    <row r="221" spans="1:11" x14ac:dyDescent="0.25">
      <c r="A221" s="16" t="s">
        <v>11</v>
      </c>
      <c r="B221" s="4" t="s">
        <v>134</v>
      </c>
      <c r="C221" s="1">
        <v>956</v>
      </c>
      <c r="D221" s="1" t="s">
        <v>341</v>
      </c>
      <c r="E221" s="1" t="s">
        <v>345</v>
      </c>
      <c r="F221" s="1" t="s">
        <v>349</v>
      </c>
      <c r="G221" s="1">
        <v>2</v>
      </c>
      <c r="H221" s="1">
        <v>0</v>
      </c>
      <c r="I221" s="1" t="s">
        <v>351</v>
      </c>
      <c r="J221" s="1">
        <v>3</v>
      </c>
      <c r="K221" s="17" t="str">
        <f t="shared" si="3"/>
        <v>Jan</v>
      </c>
    </row>
    <row r="222" spans="1:11" x14ac:dyDescent="0.25">
      <c r="A222" s="16" t="s">
        <v>10</v>
      </c>
      <c r="B222" s="4" t="s">
        <v>184</v>
      </c>
      <c r="C222" s="1">
        <v>500</v>
      </c>
      <c r="D222" s="1" t="s">
        <v>340</v>
      </c>
      <c r="E222" s="1" t="s">
        <v>345</v>
      </c>
      <c r="F222" s="1" t="s">
        <v>349</v>
      </c>
      <c r="G222" s="1">
        <v>27</v>
      </c>
      <c r="H222" s="1">
        <v>6</v>
      </c>
      <c r="I222" s="1" t="s">
        <v>353</v>
      </c>
      <c r="J222" s="1">
        <v>4</v>
      </c>
      <c r="K222" s="17" t="str">
        <f t="shared" si="3"/>
        <v>Nov</v>
      </c>
    </row>
    <row r="223" spans="1:11" x14ac:dyDescent="0.25">
      <c r="A223" s="16" t="s">
        <v>10</v>
      </c>
      <c r="B223" s="4" t="s">
        <v>59</v>
      </c>
      <c r="C223" s="1">
        <v>550</v>
      </c>
      <c r="D223" s="1" t="s">
        <v>342</v>
      </c>
      <c r="E223" s="1" t="s">
        <v>344</v>
      </c>
      <c r="F223" s="1" t="s">
        <v>349</v>
      </c>
      <c r="G223" s="1">
        <v>43</v>
      </c>
      <c r="H223" s="1">
        <v>4</v>
      </c>
      <c r="I223" s="1" t="s">
        <v>353</v>
      </c>
      <c r="J223" s="1">
        <v>4</v>
      </c>
      <c r="K223" s="17" t="str">
        <f t="shared" si="3"/>
        <v>Mar</v>
      </c>
    </row>
    <row r="224" spans="1:11" x14ac:dyDescent="0.25">
      <c r="A224" s="16" t="s">
        <v>10</v>
      </c>
      <c r="B224" s="1" t="s">
        <v>77</v>
      </c>
      <c r="C224" s="1">
        <v>1184</v>
      </c>
      <c r="D224" s="1" t="s">
        <v>342</v>
      </c>
      <c r="E224" s="1" t="s">
        <v>343</v>
      </c>
      <c r="F224" s="1" t="s">
        <v>347</v>
      </c>
      <c r="G224" s="1">
        <v>14</v>
      </c>
      <c r="H224" s="1">
        <v>7</v>
      </c>
      <c r="I224" s="1" t="s">
        <v>351</v>
      </c>
      <c r="J224" s="1">
        <v>0</v>
      </c>
      <c r="K224" s="17" t="str">
        <f t="shared" si="3"/>
        <v>Mar</v>
      </c>
    </row>
    <row r="225" spans="1:11" x14ac:dyDescent="0.25">
      <c r="A225" s="16" t="s">
        <v>13</v>
      </c>
      <c r="B225" s="4" t="s">
        <v>135</v>
      </c>
      <c r="C225" s="1">
        <v>1216</v>
      </c>
      <c r="D225" s="1" t="s">
        <v>340</v>
      </c>
      <c r="E225" s="1" t="s">
        <v>346</v>
      </c>
      <c r="F225" s="1" t="s">
        <v>349</v>
      </c>
      <c r="G225" s="1">
        <v>40</v>
      </c>
      <c r="H225" s="1">
        <v>3</v>
      </c>
      <c r="I225" s="1" t="s">
        <v>353</v>
      </c>
      <c r="J225" s="1">
        <v>2</v>
      </c>
      <c r="K225" s="17" t="str">
        <f t="shared" si="3"/>
        <v>Aug</v>
      </c>
    </row>
    <row r="226" spans="1:11" x14ac:dyDescent="0.25">
      <c r="A226" s="16" t="s">
        <v>11</v>
      </c>
      <c r="B226" s="1" t="s">
        <v>131</v>
      </c>
      <c r="C226" s="1">
        <v>1969</v>
      </c>
      <c r="D226" s="1" t="s">
        <v>340</v>
      </c>
      <c r="E226" s="1" t="s">
        <v>344</v>
      </c>
      <c r="F226" s="1" t="s">
        <v>347</v>
      </c>
      <c r="G226" s="1">
        <v>22</v>
      </c>
      <c r="H226" s="1">
        <v>6</v>
      </c>
      <c r="I226" s="1" t="s">
        <v>352</v>
      </c>
      <c r="J226" s="1">
        <v>1</v>
      </c>
      <c r="K226" s="17" t="str">
        <f t="shared" si="3"/>
        <v>Dec</v>
      </c>
    </row>
    <row r="227" spans="1:11" x14ac:dyDescent="0.25">
      <c r="A227" s="16" t="s">
        <v>13</v>
      </c>
      <c r="B227" s="1" t="s">
        <v>185</v>
      </c>
      <c r="C227" s="1">
        <v>948</v>
      </c>
      <c r="D227" s="1" t="s">
        <v>341</v>
      </c>
      <c r="E227" s="1" t="s">
        <v>345</v>
      </c>
      <c r="F227" s="1" t="s">
        <v>348</v>
      </c>
      <c r="G227" s="1">
        <v>39</v>
      </c>
      <c r="H227" s="1">
        <v>4</v>
      </c>
      <c r="I227" s="1" t="s">
        <v>353</v>
      </c>
      <c r="J227" s="1">
        <v>0</v>
      </c>
      <c r="K227" s="17" t="str">
        <f t="shared" si="3"/>
        <v>Jul</v>
      </c>
    </row>
    <row r="228" spans="1:11" x14ac:dyDescent="0.25">
      <c r="A228" s="16" t="s">
        <v>13</v>
      </c>
      <c r="B228" s="4" t="s">
        <v>186</v>
      </c>
      <c r="C228" s="1">
        <v>1380</v>
      </c>
      <c r="D228" s="1" t="s">
        <v>340</v>
      </c>
      <c r="E228" s="1" t="s">
        <v>343</v>
      </c>
      <c r="F228" s="1" t="s">
        <v>349</v>
      </c>
      <c r="G228" s="1">
        <v>10</v>
      </c>
      <c r="H228" s="1">
        <v>4</v>
      </c>
      <c r="I228" s="1" t="s">
        <v>354</v>
      </c>
      <c r="J228" s="1">
        <v>2</v>
      </c>
      <c r="K228" s="17" t="str">
        <f t="shared" si="3"/>
        <v>Dec</v>
      </c>
    </row>
    <row r="229" spans="1:11" x14ac:dyDescent="0.25">
      <c r="A229" s="16" t="s">
        <v>12</v>
      </c>
      <c r="B229" s="4" t="s">
        <v>187</v>
      </c>
      <c r="C229" s="1">
        <v>987</v>
      </c>
      <c r="D229" s="1" t="s">
        <v>342</v>
      </c>
      <c r="E229" s="1" t="s">
        <v>345</v>
      </c>
      <c r="F229" s="1" t="s">
        <v>349</v>
      </c>
      <c r="G229" s="1">
        <v>47</v>
      </c>
      <c r="H229" s="1">
        <v>8</v>
      </c>
      <c r="I229" s="1" t="s">
        <v>352</v>
      </c>
      <c r="J229" s="1">
        <v>3</v>
      </c>
      <c r="K229" s="17" t="str">
        <f t="shared" si="3"/>
        <v>Feb</v>
      </c>
    </row>
    <row r="230" spans="1:11" x14ac:dyDescent="0.25">
      <c r="A230" s="16" t="s">
        <v>13</v>
      </c>
      <c r="B230" s="1" t="s">
        <v>61</v>
      </c>
      <c r="C230" s="1">
        <v>533</v>
      </c>
      <c r="D230" s="1" t="s">
        <v>340</v>
      </c>
      <c r="E230" s="1" t="s">
        <v>346</v>
      </c>
      <c r="F230" s="1" t="s">
        <v>350</v>
      </c>
      <c r="G230" s="1">
        <v>31</v>
      </c>
      <c r="H230" s="1">
        <v>8</v>
      </c>
      <c r="I230" s="1" t="s">
        <v>352</v>
      </c>
      <c r="J230" s="1">
        <v>4</v>
      </c>
      <c r="K230" s="17" t="str">
        <f t="shared" si="3"/>
        <v>Feb</v>
      </c>
    </row>
    <row r="231" spans="1:11" x14ac:dyDescent="0.25">
      <c r="A231" s="16" t="s">
        <v>12</v>
      </c>
      <c r="B231" s="1" t="s">
        <v>188</v>
      </c>
      <c r="C231" s="1">
        <v>1871</v>
      </c>
      <c r="D231" s="1" t="s">
        <v>341</v>
      </c>
      <c r="E231" s="1" t="s">
        <v>345</v>
      </c>
      <c r="F231" s="1" t="s">
        <v>347</v>
      </c>
      <c r="G231" s="1">
        <v>35</v>
      </c>
      <c r="H231" s="1">
        <v>8</v>
      </c>
      <c r="I231" s="1" t="s">
        <v>352</v>
      </c>
      <c r="J231" s="1">
        <v>5</v>
      </c>
      <c r="K231" s="17" t="str">
        <f t="shared" si="3"/>
        <v>Jul</v>
      </c>
    </row>
    <row r="232" spans="1:11" x14ac:dyDescent="0.25">
      <c r="A232" s="16" t="s">
        <v>12</v>
      </c>
      <c r="B232" s="1" t="s">
        <v>151</v>
      </c>
      <c r="C232" s="1">
        <v>594</v>
      </c>
      <c r="D232" s="1" t="s">
        <v>341</v>
      </c>
      <c r="E232" s="1" t="s">
        <v>345</v>
      </c>
      <c r="F232" s="1" t="s">
        <v>348</v>
      </c>
      <c r="G232" s="1">
        <v>32</v>
      </c>
      <c r="H232" s="1">
        <v>5</v>
      </c>
      <c r="I232" s="1" t="s">
        <v>351</v>
      </c>
      <c r="J232" s="1">
        <v>1</v>
      </c>
      <c r="K232" s="17" t="str">
        <f t="shared" si="3"/>
        <v>Aug</v>
      </c>
    </row>
    <row r="233" spans="1:11" x14ac:dyDescent="0.25">
      <c r="A233" s="16" t="s">
        <v>13</v>
      </c>
      <c r="B233" s="1" t="s">
        <v>189</v>
      </c>
      <c r="C233" s="1">
        <v>1595</v>
      </c>
      <c r="D233" s="1" t="s">
        <v>341</v>
      </c>
      <c r="E233" s="1" t="s">
        <v>346</v>
      </c>
      <c r="F233" s="1" t="s">
        <v>350</v>
      </c>
      <c r="G233" s="1">
        <v>23</v>
      </c>
      <c r="H233" s="1">
        <v>5</v>
      </c>
      <c r="I233" s="1" t="s">
        <v>351</v>
      </c>
      <c r="J233" s="1">
        <v>5</v>
      </c>
      <c r="K233" s="17" t="str">
        <f t="shared" si="3"/>
        <v>Sep</v>
      </c>
    </row>
    <row r="234" spans="1:11" x14ac:dyDescent="0.25">
      <c r="A234" s="16" t="s">
        <v>11</v>
      </c>
      <c r="B234" s="1" t="s">
        <v>190</v>
      </c>
      <c r="C234" s="1">
        <v>653</v>
      </c>
      <c r="D234" s="1" t="s">
        <v>341</v>
      </c>
      <c r="E234" s="1" t="s">
        <v>343</v>
      </c>
      <c r="F234" s="1" t="s">
        <v>350</v>
      </c>
      <c r="G234" s="1">
        <v>38</v>
      </c>
      <c r="H234" s="1">
        <v>4</v>
      </c>
      <c r="I234" s="1" t="s">
        <v>352</v>
      </c>
      <c r="J234" s="1">
        <v>4</v>
      </c>
      <c r="K234" s="17" t="str">
        <f t="shared" si="3"/>
        <v>Jun</v>
      </c>
    </row>
    <row r="235" spans="1:11" x14ac:dyDescent="0.25">
      <c r="A235" s="16" t="s">
        <v>11</v>
      </c>
      <c r="B235" s="1" t="s">
        <v>191</v>
      </c>
      <c r="C235" s="1">
        <v>749</v>
      </c>
      <c r="D235" s="1" t="s">
        <v>341</v>
      </c>
      <c r="E235" s="1" t="s">
        <v>344</v>
      </c>
      <c r="F235" s="1" t="s">
        <v>348</v>
      </c>
      <c r="G235" s="1">
        <v>33</v>
      </c>
      <c r="H235" s="1">
        <v>8</v>
      </c>
      <c r="I235" s="1" t="s">
        <v>351</v>
      </c>
      <c r="J235" s="1">
        <v>5</v>
      </c>
      <c r="K235" s="17" t="str">
        <f t="shared" si="3"/>
        <v>Aug</v>
      </c>
    </row>
    <row r="236" spans="1:11" x14ac:dyDescent="0.25">
      <c r="A236" s="16" t="s">
        <v>11</v>
      </c>
      <c r="B236" s="1" t="s">
        <v>192</v>
      </c>
      <c r="C236" s="1">
        <v>1173</v>
      </c>
      <c r="D236" s="1" t="s">
        <v>340</v>
      </c>
      <c r="E236" s="1" t="s">
        <v>343</v>
      </c>
      <c r="F236" s="1" t="s">
        <v>350</v>
      </c>
      <c r="G236" s="1">
        <v>27</v>
      </c>
      <c r="H236" s="1">
        <v>9</v>
      </c>
      <c r="I236" s="1" t="s">
        <v>353</v>
      </c>
      <c r="J236" s="1">
        <v>3</v>
      </c>
      <c r="K236" s="17" t="str">
        <f t="shared" si="3"/>
        <v>Nov</v>
      </c>
    </row>
    <row r="237" spans="1:11" x14ac:dyDescent="0.25">
      <c r="A237" s="16" t="s">
        <v>11</v>
      </c>
      <c r="B237" s="1" t="s">
        <v>76</v>
      </c>
      <c r="C237" s="1">
        <v>937</v>
      </c>
      <c r="D237" s="1" t="s">
        <v>340</v>
      </c>
      <c r="E237" s="1" t="s">
        <v>346</v>
      </c>
      <c r="F237" s="1" t="s">
        <v>347</v>
      </c>
      <c r="G237" s="1">
        <v>36</v>
      </c>
      <c r="H237" s="1">
        <v>7</v>
      </c>
      <c r="I237" s="1" t="s">
        <v>351</v>
      </c>
      <c r="J237" s="1">
        <v>2</v>
      </c>
      <c r="K237" s="17" t="str">
        <f t="shared" si="3"/>
        <v>Jul</v>
      </c>
    </row>
    <row r="238" spans="1:11" x14ac:dyDescent="0.25">
      <c r="A238" s="16" t="s">
        <v>11</v>
      </c>
      <c r="B238" s="1" t="s">
        <v>175</v>
      </c>
      <c r="C238" s="1">
        <v>617</v>
      </c>
      <c r="D238" s="1" t="s">
        <v>340</v>
      </c>
      <c r="E238" s="1" t="s">
        <v>345</v>
      </c>
      <c r="F238" s="1" t="s">
        <v>347</v>
      </c>
      <c r="G238" s="1">
        <v>6</v>
      </c>
      <c r="H238" s="1">
        <v>6</v>
      </c>
      <c r="I238" s="1" t="s">
        <v>351</v>
      </c>
      <c r="J238" s="1">
        <v>3</v>
      </c>
      <c r="K238" s="17" t="str">
        <f t="shared" si="3"/>
        <v>Nov</v>
      </c>
    </row>
    <row r="239" spans="1:11" x14ac:dyDescent="0.25">
      <c r="A239" s="16" t="s">
        <v>13</v>
      </c>
      <c r="B239" s="4" t="s">
        <v>29</v>
      </c>
      <c r="C239" s="1">
        <v>1270</v>
      </c>
      <c r="D239" s="1" t="s">
        <v>340</v>
      </c>
      <c r="E239" s="1" t="s">
        <v>343</v>
      </c>
      <c r="F239" s="1" t="s">
        <v>349</v>
      </c>
      <c r="G239" s="1">
        <v>3</v>
      </c>
      <c r="H239" s="1">
        <v>6</v>
      </c>
      <c r="I239" s="1" t="s">
        <v>352</v>
      </c>
      <c r="J239" s="1">
        <v>5</v>
      </c>
      <c r="K239" s="17" t="str">
        <f t="shared" si="3"/>
        <v>Aug</v>
      </c>
    </row>
    <row r="240" spans="1:11" x14ac:dyDescent="0.25">
      <c r="A240" s="16" t="s">
        <v>13</v>
      </c>
      <c r="B240" s="1" t="s">
        <v>193</v>
      </c>
      <c r="C240" s="1">
        <v>1829</v>
      </c>
      <c r="D240" s="1" t="s">
        <v>341</v>
      </c>
      <c r="E240" s="1" t="s">
        <v>344</v>
      </c>
      <c r="F240" s="1" t="s">
        <v>350</v>
      </c>
      <c r="G240" s="1">
        <v>36</v>
      </c>
      <c r="H240" s="1">
        <v>5</v>
      </c>
      <c r="I240" s="1" t="s">
        <v>354</v>
      </c>
      <c r="J240" s="1">
        <v>3</v>
      </c>
      <c r="K240" s="17" t="str">
        <f t="shared" si="3"/>
        <v>Aug</v>
      </c>
    </row>
    <row r="241" spans="1:11" x14ac:dyDescent="0.25">
      <c r="A241" s="16" t="s">
        <v>10</v>
      </c>
      <c r="B241" s="4" t="s">
        <v>194</v>
      </c>
      <c r="C241" s="1">
        <v>767</v>
      </c>
      <c r="D241" s="1" t="s">
        <v>342</v>
      </c>
      <c r="E241" s="1" t="s">
        <v>346</v>
      </c>
      <c r="F241" s="1" t="s">
        <v>349</v>
      </c>
      <c r="G241" s="1">
        <v>0</v>
      </c>
      <c r="H241" s="1">
        <v>4</v>
      </c>
      <c r="I241" s="1" t="s">
        <v>354</v>
      </c>
      <c r="J241" s="1">
        <v>4</v>
      </c>
      <c r="K241" s="17" t="str">
        <f t="shared" si="3"/>
        <v>Sep</v>
      </c>
    </row>
    <row r="242" spans="1:11" x14ac:dyDescent="0.25">
      <c r="A242" s="16" t="s">
        <v>11</v>
      </c>
      <c r="B242" s="1" t="s">
        <v>195</v>
      </c>
      <c r="C242" s="1">
        <v>1577</v>
      </c>
      <c r="D242" s="1" t="s">
        <v>340</v>
      </c>
      <c r="E242" s="1" t="s">
        <v>343</v>
      </c>
      <c r="F242" s="1" t="s">
        <v>350</v>
      </c>
      <c r="G242" s="1">
        <v>0</v>
      </c>
      <c r="H242" s="1">
        <v>3</v>
      </c>
      <c r="I242" s="1" t="s">
        <v>354</v>
      </c>
      <c r="J242" s="1">
        <v>1</v>
      </c>
      <c r="K242" s="17" t="str">
        <f t="shared" si="3"/>
        <v>Feb</v>
      </c>
    </row>
    <row r="243" spans="1:11" x14ac:dyDescent="0.25">
      <c r="A243" s="16" t="s">
        <v>13</v>
      </c>
      <c r="B243" s="1" t="s">
        <v>180</v>
      </c>
      <c r="C243" s="1">
        <v>735</v>
      </c>
      <c r="D243" s="1" t="s">
        <v>342</v>
      </c>
      <c r="E243" s="1" t="s">
        <v>344</v>
      </c>
      <c r="F243" s="1" t="s">
        <v>347</v>
      </c>
      <c r="G243" s="1">
        <v>46</v>
      </c>
      <c r="H243" s="1">
        <v>2</v>
      </c>
      <c r="I243" s="1" t="s">
        <v>353</v>
      </c>
      <c r="J243" s="1">
        <v>3</v>
      </c>
      <c r="K243" s="17" t="str">
        <f t="shared" si="3"/>
        <v>May</v>
      </c>
    </row>
    <row r="244" spans="1:11" x14ac:dyDescent="0.25">
      <c r="A244" s="16" t="s">
        <v>10</v>
      </c>
      <c r="B244" s="1" t="s">
        <v>196</v>
      </c>
      <c r="C244" s="1">
        <v>888</v>
      </c>
      <c r="D244" s="1" t="s">
        <v>340</v>
      </c>
      <c r="E244" s="1" t="s">
        <v>346</v>
      </c>
      <c r="F244" s="1" t="s">
        <v>347</v>
      </c>
      <c r="G244" s="1">
        <v>19</v>
      </c>
      <c r="H244" s="1">
        <v>2</v>
      </c>
      <c r="I244" s="1" t="s">
        <v>351</v>
      </c>
      <c r="J244" s="1">
        <v>4</v>
      </c>
      <c r="K244" s="17" t="str">
        <f t="shared" si="3"/>
        <v>Aug</v>
      </c>
    </row>
    <row r="245" spans="1:11" x14ac:dyDescent="0.25">
      <c r="A245" s="16" t="s">
        <v>11</v>
      </c>
      <c r="B245" s="1" t="s">
        <v>197</v>
      </c>
      <c r="C245" s="1">
        <v>1489</v>
      </c>
      <c r="D245" s="1" t="s">
        <v>340</v>
      </c>
      <c r="E245" s="1" t="s">
        <v>344</v>
      </c>
      <c r="F245" s="1" t="s">
        <v>347</v>
      </c>
      <c r="G245" s="1">
        <v>18</v>
      </c>
      <c r="H245" s="1">
        <v>5</v>
      </c>
      <c r="I245" s="1" t="s">
        <v>354</v>
      </c>
      <c r="J245" s="1">
        <v>1</v>
      </c>
      <c r="K245" s="17" t="str">
        <f t="shared" si="3"/>
        <v>Oct</v>
      </c>
    </row>
    <row r="246" spans="1:11" x14ac:dyDescent="0.25">
      <c r="A246" s="16" t="s">
        <v>12</v>
      </c>
      <c r="B246" s="1" t="s">
        <v>32</v>
      </c>
      <c r="C246" s="1">
        <v>1262</v>
      </c>
      <c r="D246" s="1" t="s">
        <v>342</v>
      </c>
      <c r="E246" s="1" t="s">
        <v>346</v>
      </c>
      <c r="F246" s="1" t="s">
        <v>350</v>
      </c>
      <c r="G246" s="1">
        <v>28</v>
      </c>
      <c r="H246" s="1">
        <v>3</v>
      </c>
      <c r="I246" s="1" t="s">
        <v>352</v>
      </c>
      <c r="J246" s="1">
        <v>2</v>
      </c>
      <c r="K246" s="17" t="str">
        <f t="shared" si="3"/>
        <v>May</v>
      </c>
    </row>
    <row r="247" spans="1:11" x14ac:dyDescent="0.25">
      <c r="A247" s="16" t="s">
        <v>10</v>
      </c>
      <c r="B247" s="1" t="s">
        <v>111</v>
      </c>
      <c r="C247" s="1">
        <v>900</v>
      </c>
      <c r="D247" s="1" t="s">
        <v>341</v>
      </c>
      <c r="E247" s="1" t="s">
        <v>345</v>
      </c>
      <c r="F247" s="1" t="s">
        <v>347</v>
      </c>
      <c r="G247" s="1">
        <v>9</v>
      </c>
      <c r="H247" s="1">
        <v>5</v>
      </c>
      <c r="I247" s="1" t="s">
        <v>354</v>
      </c>
      <c r="J247" s="1">
        <v>5</v>
      </c>
      <c r="K247" s="17" t="str">
        <f t="shared" si="3"/>
        <v>Oct</v>
      </c>
    </row>
    <row r="248" spans="1:11" x14ac:dyDescent="0.25">
      <c r="A248" s="16" t="s">
        <v>13</v>
      </c>
      <c r="B248" s="1" t="s">
        <v>198</v>
      </c>
      <c r="C248" s="1">
        <v>1123</v>
      </c>
      <c r="D248" s="1" t="s">
        <v>340</v>
      </c>
      <c r="E248" s="1" t="s">
        <v>343</v>
      </c>
      <c r="F248" s="1" t="s">
        <v>350</v>
      </c>
      <c r="G248" s="1">
        <v>17</v>
      </c>
      <c r="H248" s="1">
        <v>2</v>
      </c>
      <c r="I248" s="1" t="s">
        <v>354</v>
      </c>
      <c r="J248" s="1">
        <v>2</v>
      </c>
      <c r="K248" s="17" t="str">
        <f t="shared" si="3"/>
        <v>Mar</v>
      </c>
    </row>
    <row r="249" spans="1:11" x14ac:dyDescent="0.25">
      <c r="A249" s="16" t="s">
        <v>12</v>
      </c>
      <c r="B249" s="4" t="s">
        <v>199</v>
      </c>
      <c r="C249" s="1">
        <v>1266</v>
      </c>
      <c r="D249" s="1" t="s">
        <v>340</v>
      </c>
      <c r="E249" s="1" t="s">
        <v>344</v>
      </c>
      <c r="F249" s="1" t="s">
        <v>349</v>
      </c>
      <c r="G249" s="1">
        <v>27</v>
      </c>
      <c r="H249" s="1">
        <v>3</v>
      </c>
      <c r="I249" s="1" t="s">
        <v>351</v>
      </c>
      <c r="J249" s="1">
        <v>0</v>
      </c>
      <c r="K249" s="17" t="str">
        <f t="shared" si="3"/>
        <v>Mar</v>
      </c>
    </row>
    <row r="250" spans="1:11" x14ac:dyDescent="0.25">
      <c r="A250" s="16" t="s">
        <v>12</v>
      </c>
      <c r="B250" s="1" t="s">
        <v>200</v>
      </c>
      <c r="C250" s="1">
        <v>1826</v>
      </c>
      <c r="D250" s="1" t="s">
        <v>340</v>
      </c>
      <c r="E250" s="1" t="s">
        <v>346</v>
      </c>
      <c r="F250" s="1" t="s">
        <v>350</v>
      </c>
      <c r="G250" s="1">
        <v>34</v>
      </c>
      <c r="H250" s="1">
        <v>8</v>
      </c>
      <c r="I250" s="1" t="s">
        <v>351</v>
      </c>
      <c r="J250" s="1">
        <v>4</v>
      </c>
      <c r="K250" s="17" t="str">
        <f t="shared" si="3"/>
        <v>Nov</v>
      </c>
    </row>
    <row r="251" spans="1:11" x14ac:dyDescent="0.25">
      <c r="A251" s="16" t="s">
        <v>12</v>
      </c>
      <c r="B251" s="4" t="s">
        <v>201</v>
      </c>
      <c r="C251" s="1">
        <v>1418</v>
      </c>
      <c r="D251" s="1" t="s">
        <v>342</v>
      </c>
      <c r="E251" s="1" t="s">
        <v>344</v>
      </c>
      <c r="F251" s="1" t="s">
        <v>349</v>
      </c>
      <c r="G251" s="1">
        <v>42</v>
      </c>
      <c r="H251" s="1">
        <v>4</v>
      </c>
      <c r="I251" s="1" t="s">
        <v>351</v>
      </c>
      <c r="J251" s="1">
        <v>1</v>
      </c>
      <c r="K251" s="17" t="str">
        <f t="shared" si="3"/>
        <v>Mar</v>
      </c>
    </row>
    <row r="252" spans="1:11" x14ac:dyDescent="0.25">
      <c r="A252" s="16" t="s">
        <v>10</v>
      </c>
      <c r="B252" s="1" t="s">
        <v>145</v>
      </c>
      <c r="C252" s="1">
        <v>1730</v>
      </c>
      <c r="D252" s="1" t="s">
        <v>341</v>
      </c>
      <c r="E252" s="1" t="s">
        <v>344</v>
      </c>
      <c r="F252" s="1" t="s">
        <v>350</v>
      </c>
      <c r="G252" s="1">
        <v>46</v>
      </c>
      <c r="H252" s="1">
        <v>6</v>
      </c>
      <c r="I252" s="1" t="s">
        <v>353</v>
      </c>
      <c r="J252" s="1">
        <v>3</v>
      </c>
      <c r="K252" s="17" t="str">
        <f t="shared" si="3"/>
        <v>Aug</v>
      </c>
    </row>
    <row r="253" spans="1:11" x14ac:dyDescent="0.25">
      <c r="A253" s="16" t="s">
        <v>13</v>
      </c>
      <c r="B253" s="4" t="s">
        <v>202</v>
      </c>
      <c r="C253" s="1">
        <v>1752</v>
      </c>
      <c r="D253" s="1" t="s">
        <v>342</v>
      </c>
      <c r="E253" s="1" t="s">
        <v>343</v>
      </c>
      <c r="F253" s="1" t="s">
        <v>349</v>
      </c>
      <c r="G253" s="1">
        <v>30</v>
      </c>
      <c r="H253" s="1">
        <v>9</v>
      </c>
      <c r="I253" s="1" t="s">
        <v>353</v>
      </c>
      <c r="J253" s="1">
        <v>2</v>
      </c>
      <c r="K253" s="17" t="str">
        <f t="shared" si="3"/>
        <v>Oct</v>
      </c>
    </row>
    <row r="254" spans="1:11" x14ac:dyDescent="0.25">
      <c r="A254" s="16" t="s">
        <v>12</v>
      </c>
      <c r="B254" s="1" t="s">
        <v>203</v>
      </c>
      <c r="C254" s="1">
        <v>1352</v>
      </c>
      <c r="D254" s="1" t="s">
        <v>342</v>
      </c>
      <c r="E254" s="1" t="s">
        <v>345</v>
      </c>
      <c r="F254" s="1" t="s">
        <v>347</v>
      </c>
      <c r="G254" s="1">
        <v>26</v>
      </c>
      <c r="H254" s="1">
        <v>1</v>
      </c>
      <c r="I254" s="1" t="s">
        <v>354</v>
      </c>
      <c r="J254" s="1">
        <v>1</v>
      </c>
      <c r="K254" s="17" t="str">
        <f t="shared" si="3"/>
        <v>Mar</v>
      </c>
    </row>
    <row r="255" spans="1:11" x14ac:dyDescent="0.25">
      <c r="A255" s="16" t="s">
        <v>11</v>
      </c>
      <c r="B255" s="4" t="s">
        <v>130</v>
      </c>
      <c r="C255" s="1">
        <v>1077</v>
      </c>
      <c r="D255" s="1" t="s">
        <v>341</v>
      </c>
      <c r="E255" s="1" t="s">
        <v>344</v>
      </c>
      <c r="F255" s="1" t="s">
        <v>349</v>
      </c>
      <c r="G255" s="1">
        <v>10</v>
      </c>
      <c r="H255" s="1">
        <v>4</v>
      </c>
      <c r="I255" s="1" t="s">
        <v>351</v>
      </c>
      <c r="J255" s="1">
        <v>4</v>
      </c>
      <c r="K255" s="17" t="str">
        <f t="shared" si="3"/>
        <v>Apr</v>
      </c>
    </row>
    <row r="256" spans="1:11" x14ac:dyDescent="0.25">
      <c r="A256" s="16" t="s">
        <v>12</v>
      </c>
      <c r="B256" s="1" t="s">
        <v>132</v>
      </c>
      <c r="C256" s="1">
        <v>574</v>
      </c>
      <c r="D256" s="1" t="s">
        <v>342</v>
      </c>
      <c r="E256" s="1" t="s">
        <v>346</v>
      </c>
      <c r="F256" s="1" t="s">
        <v>347</v>
      </c>
      <c r="G256" s="1">
        <v>48</v>
      </c>
      <c r="H256" s="1">
        <v>8</v>
      </c>
      <c r="I256" s="1" t="s">
        <v>354</v>
      </c>
      <c r="J256" s="1">
        <v>0</v>
      </c>
      <c r="K256" s="17" t="str">
        <f t="shared" si="3"/>
        <v>Feb</v>
      </c>
    </row>
    <row r="257" spans="1:11" x14ac:dyDescent="0.25">
      <c r="A257" s="16" t="s">
        <v>12</v>
      </c>
      <c r="B257" s="1" t="s">
        <v>204</v>
      </c>
      <c r="C257" s="1">
        <v>934</v>
      </c>
      <c r="D257" s="1" t="s">
        <v>341</v>
      </c>
      <c r="E257" s="1" t="s">
        <v>346</v>
      </c>
      <c r="F257" s="1" t="s">
        <v>347</v>
      </c>
      <c r="G257" s="1">
        <v>48</v>
      </c>
      <c r="H257" s="1">
        <v>10</v>
      </c>
      <c r="I257" s="1" t="s">
        <v>352</v>
      </c>
      <c r="J257" s="1">
        <v>2</v>
      </c>
      <c r="K257" s="17" t="str">
        <f t="shared" si="3"/>
        <v>Apr</v>
      </c>
    </row>
    <row r="258" spans="1:11" x14ac:dyDescent="0.25">
      <c r="A258" s="16" t="s">
        <v>10</v>
      </c>
      <c r="B258" s="4" t="s">
        <v>49</v>
      </c>
      <c r="C258" s="1">
        <v>602</v>
      </c>
      <c r="D258" s="1" t="s">
        <v>340</v>
      </c>
      <c r="E258" s="1" t="s">
        <v>345</v>
      </c>
      <c r="F258" s="1" t="s">
        <v>349</v>
      </c>
      <c r="G258" s="1">
        <v>37</v>
      </c>
      <c r="H258" s="1">
        <v>2</v>
      </c>
      <c r="I258" s="1" t="s">
        <v>352</v>
      </c>
      <c r="J258" s="1">
        <v>5</v>
      </c>
      <c r="K258" s="17" t="str">
        <f t="shared" si="3"/>
        <v>Apr</v>
      </c>
    </row>
    <row r="259" spans="1:11" x14ac:dyDescent="0.25">
      <c r="A259" s="16" t="s">
        <v>10</v>
      </c>
      <c r="B259" s="1" t="s">
        <v>205</v>
      </c>
      <c r="C259" s="1">
        <v>1945</v>
      </c>
      <c r="D259" s="1" t="s">
        <v>341</v>
      </c>
      <c r="E259" s="1" t="s">
        <v>346</v>
      </c>
      <c r="F259" s="1" t="s">
        <v>350</v>
      </c>
      <c r="G259" s="1">
        <v>4</v>
      </c>
      <c r="H259" s="1">
        <v>8</v>
      </c>
      <c r="I259" s="1" t="s">
        <v>351</v>
      </c>
      <c r="J259" s="1">
        <v>1</v>
      </c>
      <c r="K259" s="17" t="str">
        <f t="shared" si="3"/>
        <v>Sep</v>
      </c>
    </row>
    <row r="260" spans="1:11" x14ac:dyDescent="0.25">
      <c r="A260" s="16" t="s">
        <v>13</v>
      </c>
      <c r="B260" s="1" t="s">
        <v>107</v>
      </c>
      <c r="C260" s="1">
        <v>1263</v>
      </c>
      <c r="D260" s="1" t="s">
        <v>340</v>
      </c>
      <c r="E260" s="1" t="s">
        <v>345</v>
      </c>
      <c r="F260" s="1" t="s">
        <v>350</v>
      </c>
      <c r="G260" s="1">
        <v>7</v>
      </c>
      <c r="H260" s="1">
        <v>10</v>
      </c>
      <c r="I260" s="1" t="s">
        <v>351</v>
      </c>
      <c r="J260" s="1">
        <v>5</v>
      </c>
      <c r="K260" s="17" t="str">
        <f t="shared" ref="K260:K323" si="4">TEXT(B260,"mmm")</f>
        <v>Feb</v>
      </c>
    </row>
    <row r="261" spans="1:11" x14ac:dyDescent="0.25">
      <c r="A261" s="16" t="s">
        <v>11</v>
      </c>
      <c r="B261" s="1" t="s">
        <v>85</v>
      </c>
      <c r="C261" s="1">
        <v>1237</v>
      </c>
      <c r="D261" s="1" t="s">
        <v>342</v>
      </c>
      <c r="E261" s="1" t="s">
        <v>346</v>
      </c>
      <c r="F261" s="1" t="s">
        <v>348</v>
      </c>
      <c r="G261" s="1">
        <v>33</v>
      </c>
      <c r="H261" s="1">
        <v>5</v>
      </c>
      <c r="I261" s="1" t="s">
        <v>352</v>
      </c>
      <c r="J261" s="1">
        <v>1</v>
      </c>
      <c r="K261" s="17" t="str">
        <f t="shared" si="4"/>
        <v>Apr</v>
      </c>
    </row>
    <row r="262" spans="1:11" x14ac:dyDescent="0.25">
      <c r="A262" s="16" t="s">
        <v>10</v>
      </c>
      <c r="B262" s="1" t="s">
        <v>67</v>
      </c>
      <c r="C262" s="1">
        <v>1305</v>
      </c>
      <c r="D262" s="1" t="s">
        <v>342</v>
      </c>
      <c r="E262" s="1" t="s">
        <v>343</v>
      </c>
      <c r="F262" s="1" t="s">
        <v>350</v>
      </c>
      <c r="G262" s="1">
        <v>47</v>
      </c>
      <c r="H262" s="1">
        <v>3</v>
      </c>
      <c r="I262" s="1" t="s">
        <v>351</v>
      </c>
      <c r="J262" s="1">
        <v>1</v>
      </c>
      <c r="K262" s="17" t="str">
        <f t="shared" si="4"/>
        <v>Aug</v>
      </c>
    </row>
    <row r="263" spans="1:11" x14ac:dyDescent="0.25">
      <c r="A263" s="16" t="s">
        <v>12</v>
      </c>
      <c r="B263" s="1" t="s">
        <v>89</v>
      </c>
      <c r="C263" s="1">
        <v>1829</v>
      </c>
      <c r="D263" s="1" t="s">
        <v>340</v>
      </c>
      <c r="E263" s="1" t="s">
        <v>344</v>
      </c>
      <c r="F263" s="1" t="s">
        <v>348</v>
      </c>
      <c r="G263" s="1">
        <v>11</v>
      </c>
      <c r="H263" s="1">
        <v>6</v>
      </c>
      <c r="I263" s="1" t="s">
        <v>353</v>
      </c>
      <c r="J263" s="1">
        <v>4</v>
      </c>
      <c r="K263" s="17" t="str">
        <f t="shared" si="4"/>
        <v>Oct</v>
      </c>
    </row>
    <row r="264" spans="1:11" x14ac:dyDescent="0.25">
      <c r="A264" s="16" t="s">
        <v>13</v>
      </c>
      <c r="B264" s="1" t="s">
        <v>206</v>
      </c>
      <c r="C264" s="1">
        <v>597</v>
      </c>
      <c r="D264" s="1" t="s">
        <v>342</v>
      </c>
      <c r="E264" s="1" t="s">
        <v>343</v>
      </c>
      <c r="F264" s="1" t="s">
        <v>350</v>
      </c>
      <c r="G264" s="1">
        <v>37</v>
      </c>
      <c r="H264" s="1">
        <v>7</v>
      </c>
      <c r="I264" s="1" t="s">
        <v>353</v>
      </c>
      <c r="J264" s="1">
        <v>4</v>
      </c>
      <c r="K264" s="17" t="str">
        <f t="shared" si="4"/>
        <v>Mar</v>
      </c>
    </row>
    <row r="265" spans="1:11" x14ac:dyDescent="0.25">
      <c r="A265" s="16" t="s">
        <v>12</v>
      </c>
      <c r="B265" s="1" t="s">
        <v>207</v>
      </c>
      <c r="C265" s="1">
        <v>1297</v>
      </c>
      <c r="D265" s="1" t="s">
        <v>341</v>
      </c>
      <c r="E265" s="1" t="s">
        <v>344</v>
      </c>
      <c r="F265" s="1" t="s">
        <v>350</v>
      </c>
      <c r="G265" s="1">
        <v>0</v>
      </c>
      <c r="H265" s="1">
        <v>5</v>
      </c>
      <c r="I265" s="1" t="s">
        <v>351</v>
      </c>
      <c r="J265" s="1">
        <v>4</v>
      </c>
      <c r="K265" s="17" t="str">
        <f t="shared" si="4"/>
        <v>Feb</v>
      </c>
    </row>
    <row r="266" spans="1:11" x14ac:dyDescent="0.25">
      <c r="A266" s="16" t="s">
        <v>12</v>
      </c>
      <c r="B266" s="1" t="s">
        <v>208</v>
      </c>
      <c r="C266" s="1">
        <v>1858</v>
      </c>
      <c r="D266" s="1" t="s">
        <v>340</v>
      </c>
      <c r="E266" s="1" t="s">
        <v>344</v>
      </c>
      <c r="F266" s="1" t="s">
        <v>347</v>
      </c>
      <c r="G266" s="1">
        <v>30</v>
      </c>
      <c r="H266" s="1">
        <v>4</v>
      </c>
      <c r="I266" s="1" t="s">
        <v>352</v>
      </c>
      <c r="J266" s="1">
        <v>3</v>
      </c>
      <c r="K266" s="17" t="str">
        <f t="shared" si="4"/>
        <v>Jul</v>
      </c>
    </row>
    <row r="267" spans="1:11" x14ac:dyDescent="0.25">
      <c r="A267" s="16" t="s">
        <v>10</v>
      </c>
      <c r="B267" s="1" t="s">
        <v>209</v>
      </c>
      <c r="C267" s="1">
        <v>1358</v>
      </c>
      <c r="D267" s="1" t="s">
        <v>342</v>
      </c>
      <c r="E267" s="1" t="s">
        <v>344</v>
      </c>
      <c r="F267" s="1" t="s">
        <v>348</v>
      </c>
      <c r="G267" s="1">
        <v>3</v>
      </c>
      <c r="H267" s="1">
        <v>5</v>
      </c>
      <c r="I267" s="1" t="s">
        <v>354</v>
      </c>
      <c r="J267" s="1">
        <v>1</v>
      </c>
      <c r="K267" s="17" t="str">
        <f t="shared" si="4"/>
        <v>Sep</v>
      </c>
    </row>
    <row r="268" spans="1:11" x14ac:dyDescent="0.25">
      <c r="A268" s="16" t="s">
        <v>13</v>
      </c>
      <c r="B268" s="1" t="s">
        <v>210</v>
      </c>
      <c r="C268" s="1">
        <v>934</v>
      </c>
      <c r="D268" s="1" t="s">
        <v>340</v>
      </c>
      <c r="E268" s="1" t="s">
        <v>343</v>
      </c>
      <c r="F268" s="1" t="s">
        <v>350</v>
      </c>
      <c r="G268" s="1">
        <v>48</v>
      </c>
      <c r="H268" s="1">
        <v>4</v>
      </c>
      <c r="I268" s="1" t="s">
        <v>351</v>
      </c>
      <c r="J268" s="1">
        <v>2</v>
      </c>
      <c r="K268" s="17" t="str">
        <f t="shared" si="4"/>
        <v>May</v>
      </c>
    </row>
    <row r="269" spans="1:11" x14ac:dyDescent="0.25">
      <c r="A269" s="16" t="s">
        <v>11</v>
      </c>
      <c r="B269" s="1" t="s">
        <v>56</v>
      </c>
      <c r="C269" s="1">
        <v>946</v>
      </c>
      <c r="D269" s="1" t="s">
        <v>341</v>
      </c>
      <c r="E269" s="1" t="s">
        <v>344</v>
      </c>
      <c r="F269" s="1" t="s">
        <v>348</v>
      </c>
      <c r="G269" s="1">
        <v>44</v>
      </c>
      <c r="H269" s="1">
        <v>7</v>
      </c>
      <c r="I269" s="1" t="s">
        <v>351</v>
      </c>
      <c r="J269" s="1">
        <v>5</v>
      </c>
      <c r="K269" s="17" t="str">
        <f t="shared" si="4"/>
        <v>Aug</v>
      </c>
    </row>
    <row r="270" spans="1:11" x14ac:dyDescent="0.25">
      <c r="A270" s="16" t="s">
        <v>11</v>
      </c>
      <c r="B270" s="1" t="s">
        <v>211</v>
      </c>
      <c r="C270" s="1">
        <v>1831</v>
      </c>
      <c r="D270" s="1" t="s">
        <v>341</v>
      </c>
      <c r="E270" s="1" t="s">
        <v>343</v>
      </c>
      <c r="F270" s="1" t="s">
        <v>347</v>
      </c>
      <c r="G270" s="1">
        <v>49</v>
      </c>
      <c r="H270" s="1">
        <v>0</v>
      </c>
      <c r="I270" s="1" t="s">
        <v>354</v>
      </c>
      <c r="J270" s="1">
        <v>4</v>
      </c>
      <c r="K270" s="17" t="str">
        <f t="shared" si="4"/>
        <v>Dec</v>
      </c>
    </row>
    <row r="271" spans="1:11" x14ac:dyDescent="0.25">
      <c r="A271" s="16" t="s">
        <v>10</v>
      </c>
      <c r="B271" s="1" t="s">
        <v>212</v>
      </c>
      <c r="C271" s="1">
        <v>748</v>
      </c>
      <c r="D271" s="1" t="s">
        <v>342</v>
      </c>
      <c r="E271" s="1" t="s">
        <v>345</v>
      </c>
      <c r="F271" s="1" t="s">
        <v>347</v>
      </c>
      <c r="G271" s="1">
        <v>4</v>
      </c>
      <c r="H271" s="1">
        <v>10</v>
      </c>
      <c r="I271" s="1" t="s">
        <v>351</v>
      </c>
      <c r="J271" s="1">
        <v>4</v>
      </c>
      <c r="K271" s="17" t="str">
        <f t="shared" si="4"/>
        <v>Oct</v>
      </c>
    </row>
    <row r="272" spans="1:11" x14ac:dyDescent="0.25">
      <c r="A272" s="16" t="s">
        <v>10</v>
      </c>
      <c r="B272" s="1" t="s">
        <v>42</v>
      </c>
      <c r="C272" s="1">
        <v>665</v>
      </c>
      <c r="D272" s="1" t="s">
        <v>341</v>
      </c>
      <c r="E272" s="1" t="s">
        <v>346</v>
      </c>
      <c r="F272" s="1" t="s">
        <v>348</v>
      </c>
      <c r="G272" s="1">
        <v>29</v>
      </c>
      <c r="H272" s="1">
        <v>6</v>
      </c>
      <c r="I272" s="1" t="s">
        <v>354</v>
      </c>
      <c r="J272" s="1">
        <v>5</v>
      </c>
      <c r="K272" s="17" t="str">
        <f t="shared" si="4"/>
        <v>Jul</v>
      </c>
    </row>
    <row r="273" spans="1:11" x14ac:dyDescent="0.25">
      <c r="A273" s="16" t="s">
        <v>13</v>
      </c>
      <c r="B273" s="1" t="s">
        <v>213</v>
      </c>
      <c r="C273" s="1">
        <v>1483</v>
      </c>
      <c r="D273" s="1" t="s">
        <v>340</v>
      </c>
      <c r="E273" s="1" t="s">
        <v>346</v>
      </c>
      <c r="F273" s="1" t="s">
        <v>347</v>
      </c>
      <c r="G273" s="1">
        <v>23</v>
      </c>
      <c r="H273" s="1">
        <v>9</v>
      </c>
      <c r="I273" s="1" t="s">
        <v>352</v>
      </c>
      <c r="J273" s="1">
        <v>5</v>
      </c>
      <c r="K273" s="17" t="str">
        <f t="shared" si="4"/>
        <v>Jun</v>
      </c>
    </row>
    <row r="274" spans="1:11" x14ac:dyDescent="0.25">
      <c r="A274" s="16" t="s">
        <v>11</v>
      </c>
      <c r="B274" s="4" t="s">
        <v>214</v>
      </c>
      <c r="C274" s="1">
        <v>1858</v>
      </c>
      <c r="D274" s="1" t="s">
        <v>341</v>
      </c>
      <c r="E274" s="1" t="s">
        <v>344</v>
      </c>
      <c r="F274" s="1" t="s">
        <v>349</v>
      </c>
      <c r="G274" s="1">
        <v>2</v>
      </c>
      <c r="H274" s="1">
        <v>9</v>
      </c>
      <c r="I274" s="1" t="s">
        <v>353</v>
      </c>
      <c r="J274" s="1">
        <v>1</v>
      </c>
      <c r="K274" s="17" t="str">
        <f t="shared" si="4"/>
        <v>Aug</v>
      </c>
    </row>
    <row r="275" spans="1:11" x14ac:dyDescent="0.25">
      <c r="A275" s="16" t="s">
        <v>11</v>
      </c>
      <c r="B275" s="4" t="s">
        <v>215</v>
      </c>
      <c r="C275" s="1">
        <v>1519</v>
      </c>
      <c r="D275" s="1" t="s">
        <v>340</v>
      </c>
      <c r="E275" s="1" t="s">
        <v>343</v>
      </c>
      <c r="F275" s="1" t="s">
        <v>349</v>
      </c>
      <c r="G275" s="1">
        <v>10</v>
      </c>
      <c r="H275" s="1">
        <v>10</v>
      </c>
      <c r="I275" s="1" t="s">
        <v>352</v>
      </c>
      <c r="J275" s="1">
        <v>4</v>
      </c>
      <c r="K275" s="17" t="str">
        <f t="shared" si="4"/>
        <v>Dec</v>
      </c>
    </row>
    <row r="276" spans="1:11" x14ac:dyDescent="0.25">
      <c r="A276" s="16" t="s">
        <v>11</v>
      </c>
      <c r="B276" s="1" t="s">
        <v>151</v>
      </c>
      <c r="C276" s="1">
        <v>1041</v>
      </c>
      <c r="D276" s="1" t="s">
        <v>340</v>
      </c>
      <c r="E276" s="1" t="s">
        <v>346</v>
      </c>
      <c r="F276" s="1" t="s">
        <v>347</v>
      </c>
      <c r="G276" s="1">
        <v>44</v>
      </c>
      <c r="H276" s="1">
        <v>1</v>
      </c>
      <c r="I276" s="1" t="s">
        <v>353</v>
      </c>
      <c r="J276" s="1">
        <v>5</v>
      </c>
      <c r="K276" s="17" t="str">
        <f t="shared" si="4"/>
        <v>Aug</v>
      </c>
    </row>
    <row r="277" spans="1:11" x14ac:dyDescent="0.25">
      <c r="A277" s="16" t="s">
        <v>12</v>
      </c>
      <c r="B277" s="4" t="s">
        <v>216</v>
      </c>
      <c r="C277" s="1">
        <v>1258</v>
      </c>
      <c r="D277" s="1" t="s">
        <v>341</v>
      </c>
      <c r="E277" s="1" t="s">
        <v>343</v>
      </c>
      <c r="F277" s="1" t="s">
        <v>349</v>
      </c>
      <c r="G277" s="1">
        <v>3</v>
      </c>
      <c r="H277" s="1">
        <v>8</v>
      </c>
      <c r="I277" s="1" t="s">
        <v>354</v>
      </c>
      <c r="J277" s="1">
        <v>3</v>
      </c>
      <c r="K277" s="17" t="str">
        <f t="shared" si="4"/>
        <v>Sep</v>
      </c>
    </row>
    <row r="278" spans="1:11" x14ac:dyDescent="0.25">
      <c r="A278" s="16" t="s">
        <v>11</v>
      </c>
      <c r="B278" s="1" t="s">
        <v>217</v>
      </c>
      <c r="C278" s="1">
        <v>1629</v>
      </c>
      <c r="D278" s="1" t="s">
        <v>342</v>
      </c>
      <c r="E278" s="1" t="s">
        <v>343</v>
      </c>
      <c r="F278" s="1" t="s">
        <v>350</v>
      </c>
      <c r="G278" s="1">
        <v>25</v>
      </c>
      <c r="H278" s="1">
        <v>0</v>
      </c>
      <c r="I278" s="1" t="s">
        <v>353</v>
      </c>
      <c r="J278" s="1">
        <v>3</v>
      </c>
      <c r="K278" s="17" t="str">
        <f t="shared" si="4"/>
        <v>Jan</v>
      </c>
    </row>
    <row r="279" spans="1:11" x14ac:dyDescent="0.25">
      <c r="A279" s="16" t="s">
        <v>12</v>
      </c>
      <c r="B279" s="1" t="s">
        <v>218</v>
      </c>
      <c r="C279" s="1">
        <v>580</v>
      </c>
      <c r="D279" s="1" t="s">
        <v>341</v>
      </c>
      <c r="E279" s="1" t="s">
        <v>344</v>
      </c>
      <c r="F279" s="1" t="s">
        <v>348</v>
      </c>
      <c r="G279" s="1">
        <v>26</v>
      </c>
      <c r="H279" s="1">
        <v>10</v>
      </c>
      <c r="I279" s="1" t="s">
        <v>352</v>
      </c>
      <c r="J279" s="1">
        <v>4</v>
      </c>
      <c r="K279" s="17" t="str">
        <f t="shared" si="4"/>
        <v>Feb</v>
      </c>
    </row>
    <row r="280" spans="1:11" x14ac:dyDescent="0.25">
      <c r="A280" s="16" t="s">
        <v>13</v>
      </c>
      <c r="B280" s="1" t="s">
        <v>43</v>
      </c>
      <c r="C280" s="1">
        <v>632</v>
      </c>
      <c r="D280" s="1" t="s">
        <v>340</v>
      </c>
      <c r="E280" s="1" t="s">
        <v>346</v>
      </c>
      <c r="F280" s="1" t="s">
        <v>350</v>
      </c>
      <c r="G280" s="1">
        <v>45</v>
      </c>
      <c r="H280" s="1">
        <v>9</v>
      </c>
      <c r="I280" s="1" t="s">
        <v>353</v>
      </c>
      <c r="J280" s="1">
        <v>5</v>
      </c>
      <c r="K280" s="17" t="str">
        <f t="shared" si="4"/>
        <v>Jul</v>
      </c>
    </row>
    <row r="281" spans="1:11" x14ac:dyDescent="0.25">
      <c r="A281" s="16" t="s">
        <v>12</v>
      </c>
      <c r="B281" s="1" t="s">
        <v>219</v>
      </c>
      <c r="C281" s="1">
        <v>1296</v>
      </c>
      <c r="D281" s="1" t="s">
        <v>340</v>
      </c>
      <c r="E281" s="1" t="s">
        <v>344</v>
      </c>
      <c r="F281" s="1" t="s">
        <v>348</v>
      </c>
      <c r="G281" s="1">
        <v>42</v>
      </c>
      <c r="H281" s="1">
        <v>5</v>
      </c>
      <c r="I281" s="1" t="s">
        <v>354</v>
      </c>
      <c r="J281" s="1">
        <v>1</v>
      </c>
      <c r="K281" s="17" t="str">
        <f t="shared" si="4"/>
        <v>Oct</v>
      </c>
    </row>
    <row r="282" spans="1:11" x14ac:dyDescent="0.25">
      <c r="A282" s="16" t="s">
        <v>13</v>
      </c>
      <c r="B282" s="1" t="s">
        <v>125</v>
      </c>
      <c r="C282" s="1">
        <v>1399</v>
      </c>
      <c r="D282" s="1" t="s">
        <v>341</v>
      </c>
      <c r="E282" s="1" t="s">
        <v>344</v>
      </c>
      <c r="F282" s="1" t="s">
        <v>347</v>
      </c>
      <c r="G282" s="1">
        <v>26</v>
      </c>
      <c r="H282" s="1">
        <v>8</v>
      </c>
      <c r="I282" s="1" t="s">
        <v>353</v>
      </c>
      <c r="J282" s="1">
        <v>1</v>
      </c>
      <c r="K282" s="17" t="str">
        <f t="shared" si="4"/>
        <v>Mar</v>
      </c>
    </row>
    <row r="283" spans="1:11" x14ac:dyDescent="0.25">
      <c r="A283" s="16" t="s">
        <v>11</v>
      </c>
      <c r="B283" s="1" t="s">
        <v>220</v>
      </c>
      <c r="C283" s="1">
        <v>637</v>
      </c>
      <c r="D283" s="1" t="s">
        <v>342</v>
      </c>
      <c r="E283" s="1" t="s">
        <v>346</v>
      </c>
      <c r="F283" s="1" t="s">
        <v>350</v>
      </c>
      <c r="G283" s="1">
        <v>41</v>
      </c>
      <c r="H283" s="1">
        <v>0</v>
      </c>
      <c r="I283" s="1" t="s">
        <v>351</v>
      </c>
      <c r="J283" s="1">
        <v>1</v>
      </c>
      <c r="K283" s="17" t="str">
        <f t="shared" si="4"/>
        <v>Feb</v>
      </c>
    </row>
    <row r="284" spans="1:11" x14ac:dyDescent="0.25">
      <c r="A284" s="16" t="s">
        <v>11</v>
      </c>
      <c r="B284" s="1" t="s">
        <v>221</v>
      </c>
      <c r="C284" s="1">
        <v>683</v>
      </c>
      <c r="D284" s="1" t="s">
        <v>342</v>
      </c>
      <c r="E284" s="1" t="s">
        <v>346</v>
      </c>
      <c r="F284" s="1" t="s">
        <v>347</v>
      </c>
      <c r="G284" s="1">
        <v>50</v>
      </c>
      <c r="H284" s="1">
        <v>3</v>
      </c>
      <c r="I284" s="1" t="s">
        <v>352</v>
      </c>
      <c r="J284" s="1">
        <v>0</v>
      </c>
      <c r="K284" s="17" t="str">
        <f t="shared" si="4"/>
        <v>Aug</v>
      </c>
    </row>
    <row r="285" spans="1:11" x14ac:dyDescent="0.25">
      <c r="A285" s="16" t="s">
        <v>13</v>
      </c>
      <c r="B285" s="1" t="s">
        <v>222</v>
      </c>
      <c r="C285" s="1">
        <v>1924</v>
      </c>
      <c r="D285" s="1" t="s">
        <v>340</v>
      </c>
      <c r="E285" s="1" t="s">
        <v>345</v>
      </c>
      <c r="F285" s="1" t="s">
        <v>347</v>
      </c>
      <c r="G285" s="1">
        <v>49</v>
      </c>
      <c r="H285" s="1">
        <v>3</v>
      </c>
      <c r="I285" s="1" t="s">
        <v>351</v>
      </c>
      <c r="J285" s="1">
        <v>4</v>
      </c>
      <c r="K285" s="17" t="str">
        <f t="shared" si="4"/>
        <v>Dec</v>
      </c>
    </row>
    <row r="286" spans="1:11" x14ac:dyDescent="0.25">
      <c r="A286" s="16" t="s">
        <v>10</v>
      </c>
      <c r="B286" s="1" t="s">
        <v>223</v>
      </c>
      <c r="C286" s="1">
        <v>1853</v>
      </c>
      <c r="D286" s="1" t="s">
        <v>340</v>
      </c>
      <c r="E286" s="1" t="s">
        <v>345</v>
      </c>
      <c r="F286" s="1" t="s">
        <v>348</v>
      </c>
      <c r="G286" s="1">
        <v>5</v>
      </c>
      <c r="H286" s="1">
        <v>8</v>
      </c>
      <c r="I286" s="1" t="s">
        <v>354</v>
      </c>
      <c r="J286" s="1">
        <v>1</v>
      </c>
      <c r="K286" s="17" t="str">
        <f t="shared" si="4"/>
        <v>Jul</v>
      </c>
    </row>
    <row r="287" spans="1:11" x14ac:dyDescent="0.25">
      <c r="A287" s="16" t="s">
        <v>13</v>
      </c>
      <c r="B287" s="1" t="s">
        <v>199</v>
      </c>
      <c r="C287" s="1">
        <v>1284</v>
      </c>
      <c r="D287" s="1" t="s">
        <v>342</v>
      </c>
      <c r="E287" s="1" t="s">
        <v>343</v>
      </c>
      <c r="F287" s="1" t="s">
        <v>348</v>
      </c>
      <c r="G287" s="1">
        <v>14</v>
      </c>
      <c r="H287" s="1">
        <v>10</v>
      </c>
      <c r="I287" s="1" t="s">
        <v>353</v>
      </c>
      <c r="J287" s="1">
        <v>3</v>
      </c>
      <c r="K287" s="17" t="str">
        <f t="shared" si="4"/>
        <v>Mar</v>
      </c>
    </row>
    <row r="288" spans="1:11" x14ac:dyDescent="0.25">
      <c r="A288" s="16" t="s">
        <v>10</v>
      </c>
      <c r="B288" s="1" t="s">
        <v>224</v>
      </c>
      <c r="C288" s="1">
        <v>1483</v>
      </c>
      <c r="D288" s="1" t="s">
        <v>341</v>
      </c>
      <c r="E288" s="1" t="s">
        <v>346</v>
      </c>
      <c r="F288" s="1" t="s">
        <v>348</v>
      </c>
      <c r="G288" s="1">
        <v>29</v>
      </c>
      <c r="H288" s="1">
        <v>4</v>
      </c>
      <c r="I288" s="1" t="s">
        <v>351</v>
      </c>
      <c r="J288" s="1">
        <v>5</v>
      </c>
      <c r="K288" s="17" t="str">
        <f t="shared" si="4"/>
        <v>Feb</v>
      </c>
    </row>
    <row r="289" spans="1:11" x14ac:dyDescent="0.25">
      <c r="A289" s="16" t="s">
        <v>12</v>
      </c>
      <c r="B289" s="1" t="s">
        <v>225</v>
      </c>
      <c r="C289" s="1">
        <v>568</v>
      </c>
      <c r="D289" s="1" t="s">
        <v>340</v>
      </c>
      <c r="E289" s="1" t="s">
        <v>345</v>
      </c>
      <c r="F289" s="1" t="s">
        <v>350</v>
      </c>
      <c r="G289" s="1">
        <v>41</v>
      </c>
      <c r="H289" s="1">
        <v>4</v>
      </c>
      <c r="I289" s="1" t="s">
        <v>351</v>
      </c>
      <c r="J289" s="1">
        <v>2</v>
      </c>
      <c r="K289" s="17" t="str">
        <f t="shared" si="4"/>
        <v>Jun</v>
      </c>
    </row>
    <row r="290" spans="1:11" x14ac:dyDescent="0.25">
      <c r="A290" s="16" t="s">
        <v>12</v>
      </c>
      <c r="B290" s="4" t="s">
        <v>191</v>
      </c>
      <c r="C290" s="1">
        <v>1045</v>
      </c>
      <c r="D290" s="1" t="s">
        <v>340</v>
      </c>
      <c r="E290" s="1" t="s">
        <v>343</v>
      </c>
      <c r="F290" s="1" t="s">
        <v>349</v>
      </c>
      <c r="G290" s="1">
        <v>36</v>
      </c>
      <c r="H290" s="1">
        <v>5</v>
      </c>
      <c r="I290" s="1" t="s">
        <v>353</v>
      </c>
      <c r="J290" s="1">
        <v>2</v>
      </c>
      <c r="K290" s="17" t="str">
        <f t="shared" si="4"/>
        <v>Aug</v>
      </c>
    </row>
    <row r="291" spans="1:11" x14ac:dyDescent="0.25">
      <c r="A291" s="16" t="s">
        <v>12</v>
      </c>
      <c r="B291" s="1" t="s">
        <v>226</v>
      </c>
      <c r="C291" s="1">
        <v>552</v>
      </c>
      <c r="D291" s="1" t="s">
        <v>342</v>
      </c>
      <c r="E291" s="1" t="s">
        <v>343</v>
      </c>
      <c r="F291" s="1" t="s">
        <v>348</v>
      </c>
      <c r="G291" s="1">
        <v>36</v>
      </c>
      <c r="H291" s="1">
        <v>0</v>
      </c>
      <c r="I291" s="1" t="s">
        <v>353</v>
      </c>
      <c r="J291" s="1">
        <v>1</v>
      </c>
      <c r="K291" s="17" t="str">
        <f t="shared" si="4"/>
        <v>Oct</v>
      </c>
    </row>
    <row r="292" spans="1:11" x14ac:dyDescent="0.25">
      <c r="A292" s="16" t="s">
        <v>11</v>
      </c>
      <c r="B292" s="1" t="s">
        <v>227</v>
      </c>
      <c r="C292" s="1">
        <v>1973</v>
      </c>
      <c r="D292" s="1" t="s">
        <v>341</v>
      </c>
      <c r="E292" s="1" t="s">
        <v>343</v>
      </c>
      <c r="F292" s="1" t="s">
        <v>348</v>
      </c>
      <c r="G292" s="1">
        <v>41</v>
      </c>
      <c r="H292" s="1">
        <v>0</v>
      </c>
      <c r="I292" s="1" t="s">
        <v>352</v>
      </c>
      <c r="J292" s="1">
        <v>2</v>
      </c>
      <c r="K292" s="17" t="str">
        <f t="shared" si="4"/>
        <v>May</v>
      </c>
    </row>
    <row r="293" spans="1:11" x14ac:dyDescent="0.25">
      <c r="A293" s="16" t="s">
        <v>12</v>
      </c>
      <c r="B293" s="1" t="s">
        <v>32</v>
      </c>
      <c r="C293" s="1">
        <v>704</v>
      </c>
      <c r="D293" s="1" t="s">
        <v>342</v>
      </c>
      <c r="E293" s="1" t="s">
        <v>345</v>
      </c>
      <c r="F293" s="1" t="s">
        <v>350</v>
      </c>
      <c r="G293" s="1">
        <v>36</v>
      </c>
      <c r="H293" s="1">
        <v>8</v>
      </c>
      <c r="I293" s="1" t="s">
        <v>351</v>
      </c>
      <c r="J293" s="1">
        <v>2</v>
      </c>
      <c r="K293" s="17" t="str">
        <f t="shared" si="4"/>
        <v>May</v>
      </c>
    </row>
    <row r="294" spans="1:11" x14ac:dyDescent="0.25">
      <c r="A294" s="16" t="s">
        <v>10</v>
      </c>
      <c r="B294" s="1" t="s">
        <v>26</v>
      </c>
      <c r="C294" s="1">
        <v>625</v>
      </c>
      <c r="D294" s="1" t="s">
        <v>341</v>
      </c>
      <c r="E294" s="1" t="s">
        <v>346</v>
      </c>
      <c r="F294" s="1" t="s">
        <v>348</v>
      </c>
      <c r="G294" s="1">
        <v>34</v>
      </c>
      <c r="H294" s="1">
        <v>2</v>
      </c>
      <c r="I294" s="1" t="s">
        <v>351</v>
      </c>
      <c r="J294" s="1">
        <v>0</v>
      </c>
      <c r="K294" s="17" t="str">
        <f t="shared" si="4"/>
        <v>Jun</v>
      </c>
    </row>
    <row r="295" spans="1:11" x14ac:dyDescent="0.25">
      <c r="A295" s="16" t="s">
        <v>12</v>
      </c>
      <c r="B295" s="1" t="s">
        <v>199</v>
      </c>
      <c r="C295" s="1">
        <v>542</v>
      </c>
      <c r="D295" s="1" t="s">
        <v>341</v>
      </c>
      <c r="E295" s="1" t="s">
        <v>344</v>
      </c>
      <c r="F295" s="1" t="s">
        <v>350</v>
      </c>
      <c r="G295" s="1">
        <v>22</v>
      </c>
      <c r="H295" s="1">
        <v>3</v>
      </c>
      <c r="I295" s="1" t="s">
        <v>354</v>
      </c>
      <c r="J295" s="1">
        <v>3</v>
      </c>
      <c r="K295" s="17" t="str">
        <f t="shared" si="4"/>
        <v>Mar</v>
      </c>
    </row>
    <row r="296" spans="1:11" x14ac:dyDescent="0.25">
      <c r="A296" s="16" t="s">
        <v>13</v>
      </c>
      <c r="B296" s="1" t="s">
        <v>112</v>
      </c>
      <c r="C296" s="1">
        <v>610</v>
      </c>
      <c r="D296" s="1" t="s">
        <v>341</v>
      </c>
      <c r="E296" s="1" t="s">
        <v>343</v>
      </c>
      <c r="F296" s="1" t="s">
        <v>347</v>
      </c>
      <c r="G296" s="1">
        <v>5</v>
      </c>
      <c r="H296" s="1">
        <v>0</v>
      </c>
      <c r="I296" s="1" t="s">
        <v>352</v>
      </c>
      <c r="J296" s="1">
        <v>3</v>
      </c>
      <c r="K296" s="17" t="str">
        <f t="shared" si="4"/>
        <v>Jan</v>
      </c>
    </row>
    <row r="297" spans="1:11" x14ac:dyDescent="0.25">
      <c r="A297" s="16" t="s">
        <v>13</v>
      </c>
      <c r="B297" s="1" t="s">
        <v>109</v>
      </c>
      <c r="C297" s="1">
        <v>1260</v>
      </c>
      <c r="D297" s="1" t="s">
        <v>340</v>
      </c>
      <c r="E297" s="1" t="s">
        <v>345</v>
      </c>
      <c r="F297" s="1" t="s">
        <v>348</v>
      </c>
      <c r="G297" s="1">
        <v>3</v>
      </c>
      <c r="H297" s="1">
        <v>8</v>
      </c>
      <c r="I297" s="1" t="s">
        <v>354</v>
      </c>
      <c r="J297" s="1">
        <v>0</v>
      </c>
      <c r="K297" s="17" t="str">
        <f t="shared" si="4"/>
        <v>Mar</v>
      </c>
    </row>
    <row r="298" spans="1:11" x14ac:dyDescent="0.25">
      <c r="A298" s="16" t="s">
        <v>11</v>
      </c>
      <c r="B298" s="1" t="s">
        <v>54</v>
      </c>
      <c r="C298" s="1">
        <v>1706</v>
      </c>
      <c r="D298" s="1" t="s">
        <v>342</v>
      </c>
      <c r="E298" s="1" t="s">
        <v>345</v>
      </c>
      <c r="F298" s="1" t="s">
        <v>348</v>
      </c>
      <c r="G298" s="1">
        <v>17</v>
      </c>
      <c r="H298" s="1">
        <v>7</v>
      </c>
      <c r="I298" s="1" t="s">
        <v>351</v>
      </c>
      <c r="J298" s="1">
        <v>0</v>
      </c>
      <c r="K298" s="17" t="str">
        <f t="shared" si="4"/>
        <v>May</v>
      </c>
    </row>
    <row r="299" spans="1:11" x14ac:dyDescent="0.25">
      <c r="A299" s="16" t="s">
        <v>13</v>
      </c>
      <c r="B299" s="1" t="s">
        <v>226</v>
      </c>
      <c r="C299" s="1">
        <v>1347</v>
      </c>
      <c r="D299" s="1" t="s">
        <v>342</v>
      </c>
      <c r="E299" s="1" t="s">
        <v>344</v>
      </c>
      <c r="F299" s="1" t="s">
        <v>347</v>
      </c>
      <c r="G299" s="1">
        <v>8</v>
      </c>
      <c r="H299" s="1">
        <v>1</v>
      </c>
      <c r="I299" s="1" t="s">
        <v>354</v>
      </c>
      <c r="J299" s="1">
        <v>2</v>
      </c>
      <c r="K299" s="17" t="str">
        <f t="shared" si="4"/>
        <v>Oct</v>
      </c>
    </row>
    <row r="300" spans="1:11" x14ac:dyDescent="0.25">
      <c r="A300" s="16" t="s">
        <v>10</v>
      </c>
      <c r="B300" s="1" t="s">
        <v>228</v>
      </c>
      <c r="C300" s="1">
        <v>594</v>
      </c>
      <c r="D300" s="1" t="s">
        <v>341</v>
      </c>
      <c r="E300" s="1" t="s">
        <v>344</v>
      </c>
      <c r="F300" s="1" t="s">
        <v>347</v>
      </c>
      <c r="G300" s="1">
        <v>48</v>
      </c>
      <c r="H300" s="1">
        <v>7</v>
      </c>
      <c r="I300" s="1" t="s">
        <v>351</v>
      </c>
      <c r="J300" s="1">
        <v>4</v>
      </c>
      <c r="K300" s="17" t="str">
        <f t="shared" si="4"/>
        <v>Apr</v>
      </c>
    </row>
    <row r="301" spans="1:11" x14ac:dyDescent="0.25">
      <c r="A301" s="16" t="s">
        <v>12</v>
      </c>
      <c r="B301" s="1" t="s">
        <v>229</v>
      </c>
      <c r="C301" s="1">
        <v>1897</v>
      </c>
      <c r="D301" s="1" t="s">
        <v>340</v>
      </c>
      <c r="E301" s="1" t="s">
        <v>345</v>
      </c>
      <c r="F301" s="1" t="s">
        <v>347</v>
      </c>
      <c r="G301" s="1">
        <v>28</v>
      </c>
      <c r="H301" s="1">
        <v>6</v>
      </c>
      <c r="I301" s="1" t="s">
        <v>351</v>
      </c>
      <c r="J301" s="1">
        <v>5</v>
      </c>
      <c r="K301" s="17" t="str">
        <f t="shared" si="4"/>
        <v>Jan</v>
      </c>
    </row>
    <row r="302" spans="1:11" x14ac:dyDescent="0.25">
      <c r="A302" s="16" t="s">
        <v>11</v>
      </c>
      <c r="B302" s="1" t="s">
        <v>194</v>
      </c>
      <c r="C302" s="1">
        <v>1399</v>
      </c>
      <c r="D302" s="1" t="s">
        <v>340</v>
      </c>
      <c r="E302" s="1" t="s">
        <v>346</v>
      </c>
      <c r="F302" s="1" t="s">
        <v>348</v>
      </c>
      <c r="G302" s="1">
        <v>12</v>
      </c>
      <c r="H302" s="1">
        <v>10</v>
      </c>
      <c r="I302" s="1" t="s">
        <v>354</v>
      </c>
      <c r="J302" s="1">
        <v>5</v>
      </c>
      <c r="K302" s="17" t="str">
        <f t="shared" si="4"/>
        <v>Sep</v>
      </c>
    </row>
    <row r="303" spans="1:11" x14ac:dyDescent="0.25">
      <c r="A303" s="16" t="s">
        <v>12</v>
      </c>
      <c r="B303" s="4" t="s">
        <v>230</v>
      </c>
      <c r="C303" s="1">
        <v>859</v>
      </c>
      <c r="D303" s="1" t="s">
        <v>342</v>
      </c>
      <c r="E303" s="1" t="s">
        <v>344</v>
      </c>
      <c r="F303" s="1" t="s">
        <v>349</v>
      </c>
      <c r="G303" s="1">
        <v>46</v>
      </c>
      <c r="H303" s="1">
        <v>5</v>
      </c>
      <c r="I303" s="1" t="s">
        <v>354</v>
      </c>
      <c r="J303" s="1">
        <v>2</v>
      </c>
      <c r="K303" s="17" t="str">
        <f t="shared" si="4"/>
        <v>Jan</v>
      </c>
    </row>
    <row r="304" spans="1:11" x14ac:dyDescent="0.25">
      <c r="A304" s="16" t="s">
        <v>12</v>
      </c>
      <c r="B304" s="4" t="s">
        <v>182</v>
      </c>
      <c r="C304" s="1">
        <v>1399</v>
      </c>
      <c r="D304" s="1" t="s">
        <v>340</v>
      </c>
      <c r="E304" s="1" t="s">
        <v>345</v>
      </c>
      <c r="F304" s="1" t="s">
        <v>349</v>
      </c>
      <c r="G304" s="1">
        <v>16</v>
      </c>
      <c r="H304" s="1">
        <v>0</v>
      </c>
      <c r="I304" s="1" t="s">
        <v>353</v>
      </c>
      <c r="J304" s="1">
        <v>5</v>
      </c>
      <c r="K304" s="17" t="str">
        <f t="shared" si="4"/>
        <v>Dec</v>
      </c>
    </row>
    <row r="305" spans="1:11" x14ac:dyDescent="0.25">
      <c r="A305" s="16" t="s">
        <v>10</v>
      </c>
      <c r="B305" s="4" t="s">
        <v>65</v>
      </c>
      <c r="C305" s="1">
        <v>780</v>
      </c>
      <c r="D305" s="1" t="s">
        <v>340</v>
      </c>
      <c r="E305" s="1" t="s">
        <v>344</v>
      </c>
      <c r="F305" s="1" t="s">
        <v>349</v>
      </c>
      <c r="G305" s="1">
        <v>44</v>
      </c>
      <c r="H305" s="1">
        <v>6</v>
      </c>
      <c r="I305" s="1" t="s">
        <v>353</v>
      </c>
      <c r="J305" s="1">
        <v>0</v>
      </c>
      <c r="K305" s="17" t="str">
        <f t="shared" si="4"/>
        <v>Jan</v>
      </c>
    </row>
    <row r="306" spans="1:11" x14ac:dyDescent="0.25">
      <c r="A306" s="16" t="s">
        <v>13</v>
      </c>
      <c r="B306" s="1" t="s">
        <v>231</v>
      </c>
      <c r="C306" s="1">
        <v>1718</v>
      </c>
      <c r="D306" s="1" t="s">
        <v>341</v>
      </c>
      <c r="E306" s="1" t="s">
        <v>346</v>
      </c>
      <c r="F306" s="1" t="s">
        <v>348</v>
      </c>
      <c r="G306" s="1">
        <v>31</v>
      </c>
      <c r="H306" s="1">
        <v>9</v>
      </c>
      <c r="I306" s="1" t="s">
        <v>353</v>
      </c>
      <c r="J306" s="1">
        <v>3</v>
      </c>
      <c r="K306" s="17" t="str">
        <f t="shared" si="4"/>
        <v>Oct</v>
      </c>
    </row>
    <row r="307" spans="1:11" x14ac:dyDescent="0.25">
      <c r="A307" s="16" t="s">
        <v>13</v>
      </c>
      <c r="B307" s="1" t="s">
        <v>232</v>
      </c>
      <c r="C307" s="1">
        <v>1718</v>
      </c>
      <c r="D307" s="1" t="s">
        <v>340</v>
      </c>
      <c r="E307" s="1" t="s">
        <v>343</v>
      </c>
      <c r="F307" s="1" t="s">
        <v>347</v>
      </c>
      <c r="G307" s="1">
        <v>47</v>
      </c>
      <c r="H307" s="1">
        <v>6</v>
      </c>
      <c r="I307" s="1" t="s">
        <v>351</v>
      </c>
      <c r="J307" s="1">
        <v>5</v>
      </c>
      <c r="K307" s="17" t="str">
        <f t="shared" si="4"/>
        <v>Aug</v>
      </c>
    </row>
    <row r="308" spans="1:11" x14ac:dyDescent="0.25">
      <c r="A308" s="16" t="s">
        <v>12</v>
      </c>
      <c r="B308" s="1" t="s">
        <v>195</v>
      </c>
      <c r="C308" s="1">
        <v>1166</v>
      </c>
      <c r="D308" s="1" t="s">
        <v>341</v>
      </c>
      <c r="E308" s="1" t="s">
        <v>344</v>
      </c>
      <c r="F308" s="1" t="s">
        <v>348</v>
      </c>
      <c r="G308" s="1">
        <v>21</v>
      </c>
      <c r="H308" s="1">
        <v>8</v>
      </c>
      <c r="I308" s="1" t="s">
        <v>354</v>
      </c>
      <c r="J308" s="1">
        <v>2</v>
      </c>
      <c r="K308" s="17" t="str">
        <f t="shared" si="4"/>
        <v>Feb</v>
      </c>
    </row>
    <row r="309" spans="1:11" x14ac:dyDescent="0.25">
      <c r="A309" s="16" t="s">
        <v>11</v>
      </c>
      <c r="B309" s="1" t="s">
        <v>233</v>
      </c>
      <c r="C309" s="1">
        <v>592</v>
      </c>
      <c r="D309" s="1" t="s">
        <v>342</v>
      </c>
      <c r="E309" s="1" t="s">
        <v>346</v>
      </c>
      <c r="F309" s="1" t="s">
        <v>347</v>
      </c>
      <c r="G309" s="1">
        <v>3</v>
      </c>
      <c r="H309" s="1">
        <v>0</v>
      </c>
      <c r="I309" s="1" t="s">
        <v>352</v>
      </c>
      <c r="J309" s="1">
        <v>4</v>
      </c>
      <c r="K309" s="17" t="str">
        <f t="shared" si="4"/>
        <v>Nov</v>
      </c>
    </row>
    <row r="310" spans="1:11" x14ac:dyDescent="0.25">
      <c r="A310" s="16" t="s">
        <v>13</v>
      </c>
      <c r="B310" s="1" t="s">
        <v>200</v>
      </c>
      <c r="C310" s="1">
        <v>1171</v>
      </c>
      <c r="D310" s="1" t="s">
        <v>340</v>
      </c>
      <c r="E310" s="1" t="s">
        <v>345</v>
      </c>
      <c r="F310" s="1" t="s">
        <v>348</v>
      </c>
      <c r="G310" s="1">
        <v>4</v>
      </c>
      <c r="H310" s="1">
        <v>1</v>
      </c>
      <c r="I310" s="1" t="s">
        <v>351</v>
      </c>
      <c r="J310" s="1">
        <v>2</v>
      </c>
      <c r="K310" s="17" t="str">
        <f t="shared" si="4"/>
        <v>Nov</v>
      </c>
    </row>
    <row r="311" spans="1:11" x14ac:dyDescent="0.25">
      <c r="A311" s="16" t="s">
        <v>11</v>
      </c>
      <c r="B311" s="1" t="s">
        <v>234</v>
      </c>
      <c r="C311" s="1">
        <v>560</v>
      </c>
      <c r="D311" s="1" t="s">
        <v>342</v>
      </c>
      <c r="E311" s="1" t="s">
        <v>344</v>
      </c>
      <c r="F311" s="1" t="s">
        <v>348</v>
      </c>
      <c r="G311" s="1">
        <v>36</v>
      </c>
      <c r="H311" s="1">
        <v>10</v>
      </c>
      <c r="I311" s="1" t="s">
        <v>352</v>
      </c>
      <c r="J311" s="1">
        <v>1</v>
      </c>
      <c r="K311" s="17" t="str">
        <f t="shared" si="4"/>
        <v>Jul</v>
      </c>
    </row>
    <row r="312" spans="1:11" x14ac:dyDescent="0.25">
      <c r="A312" s="16" t="s">
        <v>13</v>
      </c>
      <c r="B312" s="1" t="s">
        <v>235</v>
      </c>
      <c r="C312" s="1">
        <v>1133</v>
      </c>
      <c r="D312" s="1" t="s">
        <v>342</v>
      </c>
      <c r="E312" s="1" t="s">
        <v>344</v>
      </c>
      <c r="F312" s="1" t="s">
        <v>347</v>
      </c>
      <c r="G312" s="1">
        <v>40</v>
      </c>
      <c r="H312" s="1">
        <v>8</v>
      </c>
      <c r="I312" s="1" t="s">
        <v>354</v>
      </c>
      <c r="J312" s="1">
        <v>2</v>
      </c>
      <c r="K312" s="17" t="str">
        <f t="shared" si="4"/>
        <v>Dec</v>
      </c>
    </row>
    <row r="313" spans="1:11" x14ac:dyDescent="0.25">
      <c r="A313" s="16" t="s">
        <v>11</v>
      </c>
      <c r="B313" s="4" t="s">
        <v>236</v>
      </c>
      <c r="C313" s="1">
        <v>1574</v>
      </c>
      <c r="D313" s="1" t="s">
        <v>340</v>
      </c>
      <c r="E313" s="1" t="s">
        <v>345</v>
      </c>
      <c r="F313" s="1" t="s">
        <v>349</v>
      </c>
      <c r="G313" s="1">
        <v>48</v>
      </c>
      <c r="H313" s="1">
        <v>8</v>
      </c>
      <c r="I313" s="1" t="s">
        <v>351</v>
      </c>
      <c r="J313" s="1">
        <v>0</v>
      </c>
      <c r="K313" s="17" t="str">
        <f t="shared" si="4"/>
        <v>Jan</v>
      </c>
    </row>
    <row r="314" spans="1:11" x14ac:dyDescent="0.25">
      <c r="A314" s="16" t="s">
        <v>10</v>
      </c>
      <c r="B314" s="1" t="s">
        <v>202</v>
      </c>
      <c r="C314" s="1">
        <v>1926</v>
      </c>
      <c r="D314" s="1" t="s">
        <v>340</v>
      </c>
      <c r="E314" s="1" t="s">
        <v>343</v>
      </c>
      <c r="F314" s="1" t="s">
        <v>347</v>
      </c>
      <c r="G314" s="1">
        <v>12</v>
      </c>
      <c r="H314" s="1">
        <v>5</v>
      </c>
      <c r="I314" s="1" t="s">
        <v>352</v>
      </c>
      <c r="J314" s="1">
        <v>3</v>
      </c>
      <c r="K314" s="17" t="str">
        <f t="shared" si="4"/>
        <v>Oct</v>
      </c>
    </row>
    <row r="315" spans="1:11" x14ac:dyDescent="0.25">
      <c r="A315" s="16" t="s">
        <v>11</v>
      </c>
      <c r="B315" s="1" t="s">
        <v>101</v>
      </c>
      <c r="C315" s="1">
        <v>1528</v>
      </c>
      <c r="D315" s="1" t="s">
        <v>342</v>
      </c>
      <c r="E315" s="1" t="s">
        <v>345</v>
      </c>
      <c r="F315" s="1" t="s">
        <v>350</v>
      </c>
      <c r="G315" s="1">
        <v>33</v>
      </c>
      <c r="H315" s="1">
        <v>5</v>
      </c>
      <c r="I315" s="1" t="s">
        <v>352</v>
      </c>
      <c r="J315" s="1">
        <v>3</v>
      </c>
      <c r="K315" s="17" t="str">
        <f t="shared" si="4"/>
        <v>Sep</v>
      </c>
    </row>
    <row r="316" spans="1:11" x14ac:dyDescent="0.25">
      <c r="A316" s="16" t="s">
        <v>10</v>
      </c>
      <c r="B316" s="1" t="s">
        <v>237</v>
      </c>
      <c r="C316" s="1">
        <v>1989</v>
      </c>
      <c r="D316" s="1" t="s">
        <v>340</v>
      </c>
      <c r="E316" s="1" t="s">
        <v>344</v>
      </c>
      <c r="F316" s="1" t="s">
        <v>350</v>
      </c>
      <c r="G316" s="1">
        <v>44</v>
      </c>
      <c r="H316" s="1">
        <v>3</v>
      </c>
      <c r="I316" s="1" t="s">
        <v>353</v>
      </c>
      <c r="J316" s="1">
        <v>5</v>
      </c>
      <c r="K316" s="17" t="str">
        <f t="shared" si="4"/>
        <v>Jul</v>
      </c>
    </row>
    <row r="317" spans="1:11" x14ac:dyDescent="0.25">
      <c r="A317" s="16" t="s">
        <v>10</v>
      </c>
      <c r="B317" s="1" t="s">
        <v>238</v>
      </c>
      <c r="C317" s="1">
        <v>1103</v>
      </c>
      <c r="D317" s="1" t="s">
        <v>341</v>
      </c>
      <c r="E317" s="1" t="s">
        <v>345</v>
      </c>
      <c r="F317" s="1" t="s">
        <v>347</v>
      </c>
      <c r="G317" s="1">
        <v>21</v>
      </c>
      <c r="H317" s="1">
        <v>3</v>
      </c>
      <c r="I317" s="1" t="s">
        <v>353</v>
      </c>
      <c r="J317" s="1">
        <v>0</v>
      </c>
      <c r="K317" s="17" t="str">
        <f t="shared" si="4"/>
        <v>Apr</v>
      </c>
    </row>
    <row r="318" spans="1:11" x14ac:dyDescent="0.25">
      <c r="A318" s="16" t="s">
        <v>11</v>
      </c>
      <c r="B318" s="1" t="s">
        <v>239</v>
      </c>
      <c r="C318" s="1">
        <v>1181</v>
      </c>
      <c r="D318" s="1" t="s">
        <v>341</v>
      </c>
      <c r="E318" s="1" t="s">
        <v>346</v>
      </c>
      <c r="F318" s="1" t="s">
        <v>348</v>
      </c>
      <c r="G318" s="1">
        <v>22</v>
      </c>
      <c r="H318" s="1">
        <v>4</v>
      </c>
      <c r="I318" s="1" t="s">
        <v>353</v>
      </c>
      <c r="J318" s="1">
        <v>1</v>
      </c>
      <c r="K318" s="17" t="str">
        <f t="shared" si="4"/>
        <v>Aug</v>
      </c>
    </row>
    <row r="319" spans="1:11" x14ac:dyDescent="0.25">
      <c r="A319" s="16" t="s">
        <v>10</v>
      </c>
      <c r="B319" s="1" t="s">
        <v>205</v>
      </c>
      <c r="C319" s="1">
        <v>1033</v>
      </c>
      <c r="D319" s="1" t="s">
        <v>340</v>
      </c>
      <c r="E319" s="1" t="s">
        <v>345</v>
      </c>
      <c r="F319" s="1" t="s">
        <v>350</v>
      </c>
      <c r="G319" s="1">
        <v>50</v>
      </c>
      <c r="H319" s="1">
        <v>2</v>
      </c>
      <c r="I319" s="1" t="s">
        <v>351</v>
      </c>
      <c r="J319" s="1">
        <v>0</v>
      </c>
      <c r="K319" s="17" t="str">
        <f t="shared" si="4"/>
        <v>Sep</v>
      </c>
    </row>
    <row r="320" spans="1:11" x14ac:dyDescent="0.25">
      <c r="A320" s="16" t="s">
        <v>12</v>
      </c>
      <c r="B320" s="1" t="s">
        <v>27</v>
      </c>
      <c r="C320" s="1">
        <v>1928</v>
      </c>
      <c r="D320" s="1" t="s">
        <v>342</v>
      </c>
      <c r="E320" s="1" t="s">
        <v>344</v>
      </c>
      <c r="F320" s="1" t="s">
        <v>350</v>
      </c>
      <c r="G320" s="1">
        <v>2</v>
      </c>
      <c r="H320" s="1">
        <v>0</v>
      </c>
      <c r="I320" s="1" t="s">
        <v>354</v>
      </c>
      <c r="J320" s="1">
        <v>2</v>
      </c>
      <c r="K320" s="17" t="str">
        <f t="shared" si="4"/>
        <v>Aug</v>
      </c>
    </row>
    <row r="321" spans="1:11" x14ac:dyDescent="0.25">
      <c r="A321" s="16" t="s">
        <v>10</v>
      </c>
      <c r="B321" s="1" t="s">
        <v>103</v>
      </c>
      <c r="C321" s="1">
        <v>1337</v>
      </c>
      <c r="D321" s="1" t="s">
        <v>340</v>
      </c>
      <c r="E321" s="1" t="s">
        <v>345</v>
      </c>
      <c r="F321" s="1" t="s">
        <v>348</v>
      </c>
      <c r="G321" s="1">
        <v>41</v>
      </c>
      <c r="H321" s="1">
        <v>0</v>
      </c>
      <c r="I321" s="1" t="s">
        <v>354</v>
      </c>
      <c r="J321" s="1">
        <v>0</v>
      </c>
      <c r="K321" s="17" t="str">
        <f t="shared" si="4"/>
        <v>Nov</v>
      </c>
    </row>
    <row r="322" spans="1:11" x14ac:dyDescent="0.25">
      <c r="A322" s="16" t="s">
        <v>13</v>
      </c>
      <c r="B322" s="1" t="s">
        <v>240</v>
      </c>
      <c r="C322" s="1">
        <v>1144</v>
      </c>
      <c r="D322" s="1" t="s">
        <v>340</v>
      </c>
      <c r="E322" s="1" t="s">
        <v>343</v>
      </c>
      <c r="F322" s="1" t="s">
        <v>348</v>
      </c>
      <c r="G322" s="1">
        <v>33</v>
      </c>
      <c r="H322" s="1">
        <v>6</v>
      </c>
      <c r="I322" s="1" t="s">
        <v>353</v>
      </c>
      <c r="J322" s="1">
        <v>0</v>
      </c>
      <c r="K322" s="17" t="str">
        <f t="shared" si="4"/>
        <v>Sep</v>
      </c>
    </row>
    <row r="323" spans="1:11" x14ac:dyDescent="0.25">
      <c r="A323" s="16" t="s">
        <v>11</v>
      </c>
      <c r="B323" s="4" t="s">
        <v>241</v>
      </c>
      <c r="C323" s="1">
        <v>732</v>
      </c>
      <c r="D323" s="1" t="s">
        <v>342</v>
      </c>
      <c r="E323" s="1" t="s">
        <v>345</v>
      </c>
      <c r="F323" s="1" t="s">
        <v>349</v>
      </c>
      <c r="G323" s="1">
        <v>31</v>
      </c>
      <c r="H323" s="1">
        <v>0</v>
      </c>
      <c r="I323" s="1" t="s">
        <v>353</v>
      </c>
      <c r="J323" s="1">
        <v>1</v>
      </c>
      <c r="K323" s="17" t="str">
        <f t="shared" si="4"/>
        <v>May</v>
      </c>
    </row>
    <row r="324" spans="1:11" x14ac:dyDescent="0.25">
      <c r="A324" s="16" t="s">
        <v>12</v>
      </c>
      <c r="B324" s="1" t="s">
        <v>14</v>
      </c>
      <c r="C324" s="1">
        <v>1023</v>
      </c>
      <c r="D324" s="1" t="s">
        <v>342</v>
      </c>
      <c r="E324" s="1" t="s">
        <v>343</v>
      </c>
      <c r="F324" s="1" t="s">
        <v>348</v>
      </c>
      <c r="G324" s="1">
        <v>44</v>
      </c>
      <c r="H324" s="1">
        <v>0</v>
      </c>
      <c r="I324" s="1" t="s">
        <v>353</v>
      </c>
      <c r="J324" s="1">
        <v>2</v>
      </c>
      <c r="K324" s="17" t="str">
        <f t="shared" ref="K324:K387" si="5">TEXT(B324,"mmm")</f>
        <v>Mar</v>
      </c>
    </row>
    <row r="325" spans="1:11" x14ac:dyDescent="0.25">
      <c r="A325" s="16" t="s">
        <v>11</v>
      </c>
      <c r="B325" s="1" t="s">
        <v>232</v>
      </c>
      <c r="C325" s="1">
        <v>845</v>
      </c>
      <c r="D325" s="1" t="s">
        <v>341</v>
      </c>
      <c r="E325" s="1" t="s">
        <v>346</v>
      </c>
      <c r="F325" s="1" t="s">
        <v>347</v>
      </c>
      <c r="G325" s="1">
        <v>50</v>
      </c>
      <c r="H325" s="1">
        <v>2</v>
      </c>
      <c r="I325" s="1" t="s">
        <v>352</v>
      </c>
      <c r="J325" s="1">
        <v>4</v>
      </c>
      <c r="K325" s="17" t="str">
        <f t="shared" si="5"/>
        <v>Aug</v>
      </c>
    </row>
    <row r="326" spans="1:11" x14ac:dyDescent="0.25">
      <c r="A326" s="16" t="s">
        <v>13</v>
      </c>
      <c r="B326" s="1" t="s">
        <v>170</v>
      </c>
      <c r="C326" s="1">
        <v>1569</v>
      </c>
      <c r="D326" s="1" t="s">
        <v>342</v>
      </c>
      <c r="E326" s="1" t="s">
        <v>343</v>
      </c>
      <c r="F326" s="1" t="s">
        <v>347</v>
      </c>
      <c r="G326" s="1">
        <v>48</v>
      </c>
      <c r="H326" s="1">
        <v>9</v>
      </c>
      <c r="I326" s="1" t="s">
        <v>353</v>
      </c>
      <c r="J326" s="1">
        <v>4</v>
      </c>
      <c r="K326" s="17" t="str">
        <f t="shared" si="5"/>
        <v>Mar</v>
      </c>
    </row>
    <row r="327" spans="1:11" x14ac:dyDescent="0.25">
      <c r="A327" s="16" t="s">
        <v>13</v>
      </c>
      <c r="B327" s="4" t="s">
        <v>213</v>
      </c>
      <c r="C327" s="1">
        <v>1045</v>
      </c>
      <c r="D327" s="1" t="s">
        <v>341</v>
      </c>
      <c r="E327" s="1" t="s">
        <v>345</v>
      </c>
      <c r="F327" s="1" t="s">
        <v>349</v>
      </c>
      <c r="G327" s="1">
        <v>20</v>
      </c>
      <c r="H327" s="1">
        <v>3</v>
      </c>
      <c r="I327" s="1" t="s">
        <v>352</v>
      </c>
      <c r="J327" s="1">
        <v>3</v>
      </c>
      <c r="K327" s="17" t="str">
        <f t="shared" si="5"/>
        <v>Jun</v>
      </c>
    </row>
    <row r="328" spans="1:11" x14ac:dyDescent="0.25">
      <c r="A328" s="16" t="s">
        <v>13</v>
      </c>
      <c r="B328" s="1" t="s">
        <v>242</v>
      </c>
      <c r="C328" s="1">
        <v>1601</v>
      </c>
      <c r="D328" s="1" t="s">
        <v>342</v>
      </c>
      <c r="E328" s="1" t="s">
        <v>344</v>
      </c>
      <c r="F328" s="1" t="s">
        <v>350</v>
      </c>
      <c r="G328" s="1">
        <v>45</v>
      </c>
      <c r="H328" s="1">
        <v>3</v>
      </c>
      <c r="I328" s="1" t="s">
        <v>354</v>
      </c>
      <c r="J328" s="1">
        <v>5</v>
      </c>
      <c r="K328" s="17" t="str">
        <f t="shared" si="5"/>
        <v>Sep</v>
      </c>
    </row>
    <row r="329" spans="1:11" x14ac:dyDescent="0.25">
      <c r="A329" s="16" t="s">
        <v>10</v>
      </c>
      <c r="B329" s="1" t="s">
        <v>238</v>
      </c>
      <c r="C329" s="1">
        <v>1596</v>
      </c>
      <c r="D329" s="1" t="s">
        <v>340</v>
      </c>
      <c r="E329" s="1" t="s">
        <v>343</v>
      </c>
      <c r="F329" s="1" t="s">
        <v>350</v>
      </c>
      <c r="G329" s="1">
        <v>43</v>
      </c>
      <c r="H329" s="1">
        <v>1</v>
      </c>
      <c r="I329" s="1" t="s">
        <v>351</v>
      </c>
      <c r="J329" s="1">
        <v>0</v>
      </c>
      <c r="K329" s="17" t="str">
        <f t="shared" si="5"/>
        <v>Apr</v>
      </c>
    </row>
    <row r="330" spans="1:11" x14ac:dyDescent="0.25">
      <c r="A330" s="16" t="s">
        <v>10</v>
      </c>
      <c r="B330" s="1" t="s">
        <v>94</v>
      </c>
      <c r="C330" s="1">
        <v>1293</v>
      </c>
      <c r="D330" s="1" t="s">
        <v>341</v>
      </c>
      <c r="E330" s="1" t="s">
        <v>346</v>
      </c>
      <c r="F330" s="1" t="s">
        <v>348</v>
      </c>
      <c r="G330" s="1">
        <v>20</v>
      </c>
      <c r="H330" s="1">
        <v>0</v>
      </c>
      <c r="I330" s="1" t="s">
        <v>351</v>
      </c>
      <c r="J330" s="1">
        <v>3</v>
      </c>
      <c r="K330" s="17" t="str">
        <f t="shared" si="5"/>
        <v>Nov</v>
      </c>
    </row>
    <row r="331" spans="1:11" x14ac:dyDescent="0.25">
      <c r="A331" s="16" t="s">
        <v>11</v>
      </c>
      <c r="B331" s="1" t="s">
        <v>92</v>
      </c>
      <c r="C331" s="1">
        <v>748</v>
      </c>
      <c r="D331" s="1" t="s">
        <v>341</v>
      </c>
      <c r="E331" s="1" t="s">
        <v>343</v>
      </c>
      <c r="F331" s="1" t="s">
        <v>347</v>
      </c>
      <c r="G331" s="1">
        <v>43</v>
      </c>
      <c r="H331" s="1">
        <v>2</v>
      </c>
      <c r="I331" s="1" t="s">
        <v>351</v>
      </c>
      <c r="J331" s="1">
        <v>1</v>
      </c>
      <c r="K331" s="17" t="str">
        <f t="shared" si="5"/>
        <v>Apr</v>
      </c>
    </row>
    <row r="332" spans="1:11" x14ac:dyDescent="0.25">
      <c r="A332" s="16" t="s">
        <v>11</v>
      </c>
      <c r="B332" s="1" t="s">
        <v>171</v>
      </c>
      <c r="C332" s="1">
        <v>546</v>
      </c>
      <c r="D332" s="1" t="s">
        <v>341</v>
      </c>
      <c r="E332" s="1" t="s">
        <v>343</v>
      </c>
      <c r="F332" s="1" t="s">
        <v>350</v>
      </c>
      <c r="G332" s="1">
        <v>10</v>
      </c>
      <c r="H332" s="1">
        <v>10</v>
      </c>
      <c r="I332" s="1" t="s">
        <v>351</v>
      </c>
      <c r="J332" s="1">
        <v>4</v>
      </c>
      <c r="K332" s="17" t="str">
        <f t="shared" si="5"/>
        <v>Jun</v>
      </c>
    </row>
    <row r="333" spans="1:11" x14ac:dyDescent="0.25">
      <c r="A333" s="16" t="s">
        <v>12</v>
      </c>
      <c r="B333" s="4" t="s">
        <v>61</v>
      </c>
      <c r="C333" s="1">
        <v>1644</v>
      </c>
      <c r="D333" s="1" t="s">
        <v>340</v>
      </c>
      <c r="E333" s="1" t="s">
        <v>343</v>
      </c>
      <c r="F333" s="1" t="s">
        <v>349</v>
      </c>
      <c r="G333" s="1">
        <v>38</v>
      </c>
      <c r="H333" s="1">
        <v>3</v>
      </c>
      <c r="I333" s="1" t="s">
        <v>352</v>
      </c>
      <c r="J333" s="1">
        <v>0</v>
      </c>
      <c r="K333" s="17" t="str">
        <f t="shared" si="5"/>
        <v>Feb</v>
      </c>
    </row>
    <row r="334" spans="1:11" x14ac:dyDescent="0.25">
      <c r="A334" s="16" t="s">
        <v>12</v>
      </c>
      <c r="B334" s="4" t="s">
        <v>220</v>
      </c>
      <c r="C334" s="1">
        <v>713</v>
      </c>
      <c r="D334" s="1" t="s">
        <v>340</v>
      </c>
      <c r="E334" s="1" t="s">
        <v>346</v>
      </c>
      <c r="F334" s="1" t="s">
        <v>349</v>
      </c>
      <c r="G334" s="1">
        <v>3</v>
      </c>
      <c r="H334" s="1">
        <v>2</v>
      </c>
      <c r="I334" s="1" t="s">
        <v>352</v>
      </c>
      <c r="J334" s="1">
        <v>1</v>
      </c>
      <c r="K334" s="17" t="str">
        <f t="shared" si="5"/>
        <v>Feb</v>
      </c>
    </row>
    <row r="335" spans="1:11" x14ac:dyDescent="0.25">
      <c r="A335" s="16" t="s">
        <v>11</v>
      </c>
      <c r="B335" s="1" t="s">
        <v>163</v>
      </c>
      <c r="C335" s="1">
        <v>738</v>
      </c>
      <c r="D335" s="1" t="s">
        <v>340</v>
      </c>
      <c r="E335" s="1" t="s">
        <v>345</v>
      </c>
      <c r="F335" s="1" t="s">
        <v>347</v>
      </c>
      <c r="G335" s="1">
        <v>50</v>
      </c>
      <c r="H335" s="1">
        <v>7</v>
      </c>
      <c r="I335" s="1" t="s">
        <v>353</v>
      </c>
      <c r="J335" s="1">
        <v>5</v>
      </c>
      <c r="K335" s="17" t="str">
        <f t="shared" si="5"/>
        <v>Dec</v>
      </c>
    </row>
    <row r="336" spans="1:11" x14ac:dyDescent="0.25">
      <c r="A336" s="16" t="s">
        <v>10</v>
      </c>
      <c r="B336" s="4" t="s">
        <v>161</v>
      </c>
      <c r="C336" s="1">
        <v>1579</v>
      </c>
      <c r="D336" s="1" t="s">
        <v>340</v>
      </c>
      <c r="E336" s="1" t="s">
        <v>343</v>
      </c>
      <c r="F336" s="1" t="s">
        <v>349</v>
      </c>
      <c r="G336" s="1">
        <v>0</v>
      </c>
      <c r="H336" s="1">
        <v>9</v>
      </c>
      <c r="I336" s="1" t="s">
        <v>352</v>
      </c>
      <c r="J336" s="1">
        <v>1</v>
      </c>
      <c r="K336" s="17" t="str">
        <f t="shared" si="5"/>
        <v>Nov</v>
      </c>
    </row>
    <row r="337" spans="1:11" x14ac:dyDescent="0.25">
      <c r="A337" s="16" t="s">
        <v>13</v>
      </c>
      <c r="B337" s="4" t="s">
        <v>243</v>
      </c>
      <c r="C337" s="1">
        <v>849</v>
      </c>
      <c r="D337" s="1" t="s">
        <v>340</v>
      </c>
      <c r="E337" s="1" t="s">
        <v>343</v>
      </c>
      <c r="F337" s="1" t="s">
        <v>349</v>
      </c>
      <c r="G337" s="1">
        <v>27</v>
      </c>
      <c r="H337" s="1">
        <v>0</v>
      </c>
      <c r="I337" s="1" t="s">
        <v>353</v>
      </c>
      <c r="J337" s="1">
        <v>0</v>
      </c>
      <c r="K337" s="17" t="str">
        <f t="shared" si="5"/>
        <v>Jul</v>
      </c>
    </row>
    <row r="338" spans="1:11" x14ac:dyDescent="0.25">
      <c r="A338" s="16" t="s">
        <v>11</v>
      </c>
      <c r="B338" s="1" t="s">
        <v>100</v>
      </c>
      <c r="C338" s="1">
        <v>606</v>
      </c>
      <c r="D338" s="1" t="s">
        <v>341</v>
      </c>
      <c r="E338" s="1" t="s">
        <v>344</v>
      </c>
      <c r="F338" s="1" t="s">
        <v>347</v>
      </c>
      <c r="G338" s="1">
        <v>23</v>
      </c>
      <c r="H338" s="1">
        <v>1</v>
      </c>
      <c r="I338" s="1" t="s">
        <v>353</v>
      </c>
      <c r="J338" s="1">
        <v>5</v>
      </c>
      <c r="K338" s="17" t="str">
        <f t="shared" si="5"/>
        <v>Sep</v>
      </c>
    </row>
    <row r="339" spans="1:11" x14ac:dyDescent="0.25">
      <c r="A339" s="16" t="s">
        <v>12</v>
      </c>
      <c r="B339" s="1" t="s">
        <v>77</v>
      </c>
      <c r="C339" s="1">
        <v>1330</v>
      </c>
      <c r="D339" s="1" t="s">
        <v>340</v>
      </c>
      <c r="E339" s="1" t="s">
        <v>346</v>
      </c>
      <c r="F339" s="1" t="s">
        <v>348</v>
      </c>
      <c r="G339" s="1">
        <v>34</v>
      </c>
      <c r="H339" s="1">
        <v>6</v>
      </c>
      <c r="I339" s="1" t="s">
        <v>351</v>
      </c>
      <c r="J339" s="1">
        <v>1</v>
      </c>
      <c r="K339" s="17" t="str">
        <f t="shared" si="5"/>
        <v>Mar</v>
      </c>
    </row>
    <row r="340" spans="1:11" x14ac:dyDescent="0.25">
      <c r="A340" s="16" t="s">
        <v>10</v>
      </c>
      <c r="B340" s="1" t="s">
        <v>58</v>
      </c>
      <c r="C340" s="1">
        <v>547</v>
      </c>
      <c r="D340" s="1" t="s">
        <v>341</v>
      </c>
      <c r="E340" s="1" t="s">
        <v>343</v>
      </c>
      <c r="F340" s="1" t="s">
        <v>348</v>
      </c>
      <c r="G340" s="1">
        <v>12</v>
      </c>
      <c r="H340" s="1">
        <v>3</v>
      </c>
      <c r="I340" s="1" t="s">
        <v>352</v>
      </c>
      <c r="J340" s="1">
        <v>5</v>
      </c>
      <c r="K340" s="17" t="str">
        <f t="shared" si="5"/>
        <v>Dec</v>
      </c>
    </row>
    <row r="341" spans="1:11" x14ac:dyDescent="0.25">
      <c r="A341" s="16" t="s">
        <v>11</v>
      </c>
      <c r="B341" s="4" t="s">
        <v>244</v>
      </c>
      <c r="C341" s="1">
        <v>836</v>
      </c>
      <c r="D341" s="1" t="s">
        <v>340</v>
      </c>
      <c r="E341" s="1" t="s">
        <v>346</v>
      </c>
      <c r="F341" s="1" t="s">
        <v>349</v>
      </c>
      <c r="G341" s="1">
        <v>46</v>
      </c>
      <c r="H341" s="1">
        <v>7</v>
      </c>
      <c r="I341" s="1" t="s">
        <v>352</v>
      </c>
      <c r="J341" s="1">
        <v>0</v>
      </c>
      <c r="K341" s="17" t="str">
        <f t="shared" si="5"/>
        <v>Sep</v>
      </c>
    </row>
    <row r="342" spans="1:11" x14ac:dyDescent="0.25">
      <c r="A342" s="16" t="s">
        <v>11</v>
      </c>
      <c r="B342" s="1" t="s">
        <v>142</v>
      </c>
      <c r="C342" s="1">
        <v>1549</v>
      </c>
      <c r="D342" s="1" t="s">
        <v>342</v>
      </c>
      <c r="E342" s="1" t="s">
        <v>343</v>
      </c>
      <c r="F342" s="1" t="s">
        <v>348</v>
      </c>
      <c r="G342" s="1">
        <v>33</v>
      </c>
      <c r="H342" s="1">
        <v>10</v>
      </c>
      <c r="I342" s="1" t="s">
        <v>353</v>
      </c>
      <c r="J342" s="1">
        <v>0</v>
      </c>
      <c r="K342" s="17" t="str">
        <f t="shared" si="5"/>
        <v>Jul</v>
      </c>
    </row>
    <row r="343" spans="1:11" x14ac:dyDescent="0.25">
      <c r="A343" s="16" t="s">
        <v>10</v>
      </c>
      <c r="B343" s="1" t="s">
        <v>245</v>
      </c>
      <c r="C343" s="1">
        <v>1303</v>
      </c>
      <c r="D343" s="1" t="s">
        <v>341</v>
      </c>
      <c r="E343" s="1" t="s">
        <v>345</v>
      </c>
      <c r="F343" s="1" t="s">
        <v>348</v>
      </c>
      <c r="G343" s="1">
        <v>10</v>
      </c>
      <c r="H343" s="1">
        <v>2</v>
      </c>
      <c r="I343" s="1" t="s">
        <v>353</v>
      </c>
      <c r="J343" s="1">
        <v>5</v>
      </c>
      <c r="K343" s="17" t="str">
        <f t="shared" si="5"/>
        <v>Jun</v>
      </c>
    </row>
    <row r="344" spans="1:11" x14ac:dyDescent="0.25">
      <c r="A344" s="16" t="s">
        <v>11</v>
      </c>
      <c r="B344" s="4" t="s">
        <v>40</v>
      </c>
      <c r="C344" s="1">
        <v>1780</v>
      </c>
      <c r="D344" s="1" t="s">
        <v>342</v>
      </c>
      <c r="E344" s="1" t="s">
        <v>345</v>
      </c>
      <c r="F344" s="1" t="s">
        <v>349</v>
      </c>
      <c r="G344" s="1">
        <v>35</v>
      </c>
      <c r="H344" s="1">
        <v>5</v>
      </c>
      <c r="I344" s="1" t="s">
        <v>354</v>
      </c>
      <c r="J344" s="1">
        <v>2</v>
      </c>
      <c r="K344" s="17" t="str">
        <f t="shared" si="5"/>
        <v>Sep</v>
      </c>
    </row>
    <row r="345" spans="1:11" x14ac:dyDescent="0.25">
      <c r="A345" s="16" t="s">
        <v>10</v>
      </c>
      <c r="B345" s="1" t="s">
        <v>106</v>
      </c>
      <c r="C345" s="1">
        <v>507</v>
      </c>
      <c r="D345" s="1" t="s">
        <v>341</v>
      </c>
      <c r="E345" s="1" t="s">
        <v>343</v>
      </c>
      <c r="F345" s="1" t="s">
        <v>348</v>
      </c>
      <c r="G345" s="1">
        <v>50</v>
      </c>
      <c r="H345" s="1">
        <v>8</v>
      </c>
      <c r="I345" s="1" t="s">
        <v>354</v>
      </c>
      <c r="J345" s="1">
        <v>3</v>
      </c>
      <c r="K345" s="17" t="str">
        <f t="shared" si="5"/>
        <v>Mar</v>
      </c>
    </row>
    <row r="346" spans="1:11" x14ac:dyDescent="0.25">
      <c r="A346" s="16" t="s">
        <v>13</v>
      </c>
      <c r="B346" s="4" t="s">
        <v>121</v>
      </c>
      <c r="C346" s="1">
        <v>1124</v>
      </c>
      <c r="D346" s="1" t="s">
        <v>342</v>
      </c>
      <c r="E346" s="1" t="s">
        <v>345</v>
      </c>
      <c r="F346" s="1" t="s">
        <v>349</v>
      </c>
      <c r="G346" s="1">
        <v>16</v>
      </c>
      <c r="H346" s="1">
        <v>0</v>
      </c>
      <c r="I346" s="1" t="s">
        <v>353</v>
      </c>
      <c r="J346" s="1">
        <v>1</v>
      </c>
      <c r="K346" s="17" t="str">
        <f t="shared" si="5"/>
        <v>Nov</v>
      </c>
    </row>
    <row r="347" spans="1:11" x14ac:dyDescent="0.25">
      <c r="A347" s="16" t="s">
        <v>10</v>
      </c>
      <c r="B347" s="1" t="s">
        <v>246</v>
      </c>
      <c r="C347" s="1">
        <v>1776</v>
      </c>
      <c r="D347" s="1" t="s">
        <v>340</v>
      </c>
      <c r="E347" s="1" t="s">
        <v>343</v>
      </c>
      <c r="F347" s="1" t="s">
        <v>350</v>
      </c>
      <c r="G347" s="1">
        <v>34</v>
      </c>
      <c r="H347" s="1">
        <v>0</v>
      </c>
      <c r="I347" s="1" t="s">
        <v>354</v>
      </c>
      <c r="J347" s="1">
        <v>1</v>
      </c>
      <c r="K347" s="17" t="str">
        <f t="shared" si="5"/>
        <v>Dec</v>
      </c>
    </row>
    <row r="348" spans="1:11" x14ac:dyDescent="0.25">
      <c r="A348" s="16" t="s">
        <v>10</v>
      </c>
      <c r="B348" s="1" t="s">
        <v>115</v>
      </c>
      <c r="C348" s="1">
        <v>1218</v>
      </c>
      <c r="D348" s="1" t="s">
        <v>340</v>
      </c>
      <c r="E348" s="1" t="s">
        <v>345</v>
      </c>
      <c r="F348" s="1" t="s">
        <v>347</v>
      </c>
      <c r="G348" s="1">
        <v>17</v>
      </c>
      <c r="H348" s="1">
        <v>7</v>
      </c>
      <c r="I348" s="1" t="s">
        <v>354</v>
      </c>
      <c r="J348" s="1">
        <v>2</v>
      </c>
      <c r="K348" s="17" t="str">
        <f t="shared" si="5"/>
        <v>Jul</v>
      </c>
    </row>
    <row r="349" spans="1:11" x14ac:dyDescent="0.25">
      <c r="A349" s="16" t="s">
        <v>10</v>
      </c>
      <c r="B349" s="1" t="s">
        <v>95</v>
      </c>
      <c r="C349" s="1">
        <v>802</v>
      </c>
      <c r="D349" s="1" t="s">
        <v>340</v>
      </c>
      <c r="E349" s="1" t="s">
        <v>344</v>
      </c>
      <c r="F349" s="1" t="s">
        <v>347</v>
      </c>
      <c r="G349" s="1">
        <v>39</v>
      </c>
      <c r="H349" s="1">
        <v>2</v>
      </c>
      <c r="I349" s="1" t="s">
        <v>353</v>
      </c>
      <c r="J349" s="1">
        <v>2</v>
      </c>
      <c r="K349" s="17" t="str">
        <f t="shared" si="5"/>
        <v>Jan</v>
      </c>
    </row>
    <row r="350" spans="1:11" x14ac:dyDescent="0.25">
      <c r="A350" s="16" t="s">
        <v>11</v>
      </c>
      <c r="B350" s="1" t="s">
        <v>199</v>
      </c>
      <c r="C350" s="1">
        <v>1138</v>
      </c>
      <c r="D350" s="1" t="s">
        <v>341</v>
      </c>
      <c r="E350" s="1" t="s">
        <v>344</v>
      </c>
      <c r="F350" s="1" t="s">
        <v>348</v>
      </c>
      <c r="G350" s="1">
        <v>21</v>
      </c>
      <c r="H350" s="1">
        <v>4</v>
      </c>
      <c r="I350" s="1" t="s">
        <v>353</v>
      </c>
      <c r="J350" s="1">
        <v>2</v>
      </c>
      <c r="K350" s="17" t="str">
        <f t="shared" si="5"/>
        <v>Mar</v>
      </c>
    </row>
    <row r="351" spans="1:11" x14ac:dyDescent="0.25">
      <c r="A351" s="16" t="s">
        <v>11</v>
      </c>
      <c r="B351" s="1" t="s">
        <v>159</v>
      </c>
      <c r="C351" s="1">
        <v>555</v>
      </c>
      <c r="D351" s="1" t="s">
        <v>342</v>
      </c>
      <c r="E351" s="1" t="s">
        <v>344</v>
      </c>
      <c r="F351" s="1" t="s">
        <v>348</v>
      </c>
      <c r="G351" s="1">
        <v>23</v>
      </c>
      <c r="H351" s="1">
        <v>0</v>
      </c>
      <c r="I351" s="1" t="s">
        <v>352</v>
      </c>
      <c r="J351" s="1">
        <v>4</v>
      </c>
      <c r="K351" s="17" t="str">
        <f t="shared" si="5"/>
        <v>Feb</v>
      </c>
    </row>
    <row r="352" spans="1:11" x14ac:dyDescent="0.25">
      <c r="A352" s="16" t="s">
        <v>10</v>
      </c>
      <c r="B352" s="1" t="s">
        <v>105</v>
      </c>
      <c r="C352" s="1">
        <v>1225</v>
      </c>
      <c r="D352" s="1" t="s">
        <v>340</v>
      </c>
      <c r="E352" s="1" t="s">
        <v>346</v>
      </c>
      <c r="F352" s="1" t="s">
        <v>348</v>
      </c>
      <c r="G352" s="1">
        <v>18</v>
      </c>
      <c r="H352" s="1">
        <v>4</v>
      </c>
      <c r="I352" s="1" t="s">
        <v>353</v>
      </c>
      <c r="J352" s="1">
        <v>4</v>
      </c>
      <c r="K352" s="17" t="str">
        <f t="shared" si="5"/>
        <v>Oct</v>
      </c>
    </row>
    <row r="353" spans="1:11" x14ac:dyDescent="0.25">
      <c r="A353" s="16" t="s">
        <v>11</v>
      </c>
      <c r="B353" s="1" t="s">
        <v>162</v>
      </c>
      <c r="C353" s="1">
        <v>1025</v>
      </c>
      <c r="D353" s="1" t="s">
        <v>342</v>
      </c>
      <c r="E353" s="1" t="s">
        <v>346</v>
      </c>
      <c r="F353" s="1" t="s">
        <v>347</v>
      </c>
      <c r="G353" s="1">
        <v>36</v>
      </c>
      <c r="H353" s="1">
        <v>10</v>
      </c>
      <c r="I353" s="1" t="s">
        <v>353</v>
      </c>
      <c r="J353" s="1">
        <v>5</v>
      </c>
      <c r="K353" s="17" t="str">
        <f t="shared" si="5"/>
        <v>Feb</v>
      </c>
    </row>
    <row r="354" spans="1:11" x14ac:dyDescent="0.25">
      <c r="A354" s="16" t="s">
        <v>12</v>
      </c>
      <c r="B354" s="1" t="s">
        <v>82</v>
      </c>
      <c r="C354" s="1">
        <v>973</v>
      </c>
      <c r="D354" s="1" t="s">
        <v>342</v>
      </c>
      <c r="E354" s="1" t="s">
        <v>344</v>
      </c>
      <c r="F354" s="1" t="s">
        <v>350</v>
      </c>
      <c r="G354" s="1">
        <v>38</v>
      </c>
      <c r="H354" s="1">
        <v>5</v>
      </c>
      <c r="I354" s="1" t="s">
        <v>351</v>
      </c>
      <c r="J354" s="1">
        <v>4</v>
      </c>
      <c r="K354" s="17" t="str">
        <f t="shared" si="5"/>
        <v>Jan</v>
      </c>
    </row>
    <row r="355" spans="1:11" x14ac:dyDescent="0.25">
      <c r="A355" s="16" t="s">
        <v>12</v>
      </c>
      <c r="B355" s="1" t="s">
        <v>247</v>
      </c>
      <c r="C355" s="1">
        <v>527</v>
      </c>
      <c r="D355" s="1" t="s">
        <v>340</v>
      </c>
      <c r="E355" s="1" t="s">
        <v>346</v>
      </c>
      <c r="F355" s="1" t="s">
        <v>350</v>
      </c>
      <c r="G355" s="1">
        <v>20</v>
      </c>
      <c r="H355" s="1">
        <v>7</v>
      </c>
      <c r="I355" s="1" t="s">
        <v>352</v>
      </c>
      <c r="J355" s="1">
        <v>0</v>
      </c>
      <c r="K355" s="17" t="str">
        <f t="shared" si="5"/>
        <v>Aug</v>
      </c>
    </row>
    <row r="356" spans="1:11" x14ac:dyDescent="0.25">
      <c r="A356" s="16" t="s">
        <v>11</v>
      </c>
      <c r="B356" s="1" t="s">
        <v>123</v>
      </c>
      <c r="C356" s="1">
        <v>577</v>
      </c>
      <c r="D356" s="1" t="s">
        <v>340</v>
      </c>
      <c r="E356" s="1" t="s">
        <v>345</v>
      </c>
      <c r="F356" s="1" t="s">
        <v>347</v>
      </c>
      <c r="G356" s="1">
        <v>7</v>
      </c>
      <c r="H356" s="1">
        <v>2</v>
      </c>
      <c r="I356" s="1" t="s">
        <v>352</v>
      </c>
      <c r="J356" s="1">
        <v>5</v>
      </c>
      <c r="K356" s="17" t="str">
        <f t="shared" si="5"/>
        <v>Jun</v>
      </c>
    </row>
    <row r="357" spans="1:11" x14ac:dyDescent="0.25">
      <c r="A357" s="16" t="s">
        <v>11</v>
      </c>
      <c r="B357" s="1" t="s">
        <v>44</v>
      </c>
      <c r="C357" s="1">
        <v>1739</v>
      </c>
      <c r="D357" s="1" t="s">
        <v>342</v>
      </c>
      <c r="E357" s="1" t="s">
        <v>343</v>
      </c>
      <c r="F357" s="1" t="s">
        <v>350</v>
      </c>
      <c r="G357" s="1">
        <v>27</v>
      </c>
      <c r="H357" s="1">
        <v>2</v>
      </c>
      <c r="I357" s="1" t="s">
        <v>352</v>
      </c>
      <c r="J357" s="1">
        <v>1</v>
      </c>
      <c r="K357" s="17" t="str">
        <f t="shared" si="5"/>
        <v>Dec</v>
      </c>
    </row>
    <row r="358" spans="1:11" x14ac:dyDescent="0.25">
      <c r="A358" s="16" t="s">
        <v>10</v>
      </c>
      <c r="B358" s="1" t="s">
        <v>55</v>
      </c>
      <c r="C358" s="1">
        <v>1909</v>
      </c>
      <c r="D358" s="1" t="s">
        <v>340</v>
      </c>
      <c r="E358" s="1" t="s">
        <v>343</v>
      </c>
      <c r="F358" s="1" t="s">
        <v>347</v>
      </c>
      <c r="G358" s="1">
        <v>4</v>
      </c>
      <c r="H358" s="1">
        <v>10</v>
      </c>
      <c r="I358" s="1" t="s">
        <v>351</v>
      </c>
      <c r="J358" s="1">
        <v>3</v>
      </c>
      <c r="K358" s="17" t="str">
        <f t="shared" si="5"/>
        <v>Feb</v>
      </c>
    </row>
    <row r="359" spans="1:11" x14ac:dyDescent="0.25">
      <c r="A359" s="16" t="s">
        <v>13</v>
      </c>
      <c r="B359" s="1" t="s">
        <v>248</v>
      </c>
      <c r="C359" s="1">
        <v>864</v>
      </c>
      <c r="D359" s="1" t="s">
        <v>340</v>
      </c>
      <c r="E359" s="1" t="s">
        <v>343</v>
      </c>
      <c r="F359" s="1" t="s">
        <v>350</v>
      </c>
      <c r="G359" s="1">
        <v>16</v>
      </c>
      <c r="H359" s="1">
        <v>10</v>
      </c>
      <c r="I359" s="1" t="s">
        <v>353</v>
      </c>
      <c r="J359" s="1">
        <v>0</v>
      </c>
      <c r="K359" s="17" t="str">
        <f t="shared" si="5"/>
        <v>Apr</v>
      </c>
    </row>
    <row r="360" spans="1:11" x14ac:dyDescent="0.25">
      <c r="A360" s="16" t="s">
        <v>11</v>
      </c>
      <c r="B360" s="4" t="s">
        <v>249</v>
      </c>
      <c r="C360" s="1">
        <v>1165</v>
      </c>
      <c r="D360" s="1" t="s">
        <v>340</v>
      </c>
      <c r="E360" s="1" t="s">
        <v>344</v>
      </c>
      <c r="F360" s="1" t="s">
        <v>349</v>
      </c>
      <c r="G360" s="1">
        <v>36</v>
      </c>
      <c r="H360" s="1">
        <v>9</v>
      </c>
      <c r="I360" s="1" t="s">
        <v>352</v>
      </c>
      <c r="J360" s="1">
        <v>1</v>
      </c>
      <c r="K360" s="17" t="str">
        <f t="shared" si="5"/>
        <v>Jun</v>
      </c>
    </row>
    <row r="361" spans="1:11" x14ac:dyDescent="0.25">
      <c r="A361" s="16" t="s">
        <v>12</v>
      </c>
      <c r="B361" s="4" t="s">
        <v>250</v>
      </c>
      <c r="C361" s="1">
        <v>1025</v>
      </c>
      <c r="D361" s="1" t="s">
        <v>341</v>
      </c>
      <c r="E361" s="1" t="s">
        <v>346</v>
      </c>
      <c r="F361" s="1" t="s">
        <v>349</v>
      </c>
      <c r="G361" s="1">
        <v>35</v>
      </c>
      <c r="H361" s="1">
        <v>8</v>
      </c>
      <c r="I361" s="1" t="s">
        <v>352</v>
      </c>
      <c r="J361" s="1">
        <v>1</v>
      </c>
      <c r="K361" s="17" t="str">
        <f t="shared" si="5"/>
        <v>May</v>
      </c>
    </row>
    <row r="362" spans="1:11" x14ac:dyDescent="0.25">
      <c r="A362" s="16" t="s">
        <v>10</v>
      </c>
      <c r="B362" s="1" t="s">
        <v>251</v>
      </c>
      <c r="C362" s="1">
        <v>1198</v>
      </c>
      <c r="D362" s="1" t="s">
        <v>342</v>
      </c>
      <c r="E362" s="1" t="s">
        <v>345</v>
      </c>
      <c r="F362" s="1" t="s">
        <v>347</v>
      </c>
      <c r="G362" s="1">
        <v>18</v>
      </c>
      <c r="H362" s="1">
        <v>3</v>
      </c>
      <c r="I362" s="1" t="s">
        <v>354</v>
      </c>
      <c r="J362" s="1">
        <v>5</v>
      </c>
      <c r="K362" s="17" t="str">
        <f t="shared" si="5"/>
        <v>Jan</v>
      </c>
    </row>
    <row r="363" spans="1:11" x14ac:dyDescent="0.25">
      <c r="A363" s="16" t="s">
        <v>11</v>
      </c>
      <c r="B363" s="1" t="s">
        <v>194</v>
      </c>
      <c r="C363" s="1">
        <v>1835</v>
      </c>
      <c r="D363" s="1" t="s">
        <v>342</v>
      </c>
      <c r="E363" s="1" t="s">
        <v>345</v>
      </c>
      <c r="F363" s="1" t="s">
        <v>350</v>
      </c>
      <c r="G363" s="1">
        <v>26</v>
      </c>
      <c r="H363" s="1">
        <v>3</v>
      </c>
      <c r="I363" s="1" t="s">
        <v>352</v>
      </c>
      <c r="J363" s="1">
        <v>2</v>
      </c>
      <c r="K363" s="17" t="str">
        <f t="shared" si="5"/>
        <v>Sep</v>
      </c>
    </row>
    <row r="364" spans="1:11" x14ac:dyDescent="0.25">
      <c r="A364" s="16" t="s">
        <v>12</v>
      </c>
      <c r="B364" s="1" t="s">
        <v>252</v>
      </c>
      <c r="C364" s="1">
        <v>1382</v>
      </c>
      <c r="D364" s="1" t="s">
        <v>341</v>
      </c>
      <c r="E364" s="1" t="s">
        <v>344</v>
      </c>
      <c r="F364" s="1" t="s">
        <v>348</v>
      </c>
      <c r="G364" s="1">
        <v>33</v>
      </c>
      <c r="H364" s="1">
        <v>6</v>
      </c>
      <c r="I364" s="1" t="s">
        <v>353</v>
      </c>
      <c r="J364" s="1">
        <v>2</v>
      </c>
      <c r="K364" s="17" t="str">
        <f t="shared" si="5"/>
        <v>Nov</v>
      </c>
    </row>
    <row r="365" spans="1:11" x14ac:dyDescent="0.25">
      <c r="A365" s="16" t="s">
        <v>12</v>
      </c>
      <c r="B365" s="1" t="s">
        <v>253</v>
      </c>
      <c r="C365" s="1">
        <v>1530</v>
      </c>
      <c r="D365" s="1" t="s">
        <v>342</v>
      </c>
      <c r="E365" s="1" t="s">
        <v>345</v>
      </c>
      <c r="F365" s="1" t="s">
        <v>350</v>
      </c>
      <c r="G365" s="1">
        <v>10</v>
      </c>
      <c r="H365" s="1">
        <v>1</v>
      </c>
      <c r="I365" s="1" t="s">
        <v>353</v>
      </c>
      <c r="J365" s="1">
        <v>0</v>
      </c>
      <c r="K365" s="17" t="str">
        <f t="shared" si="5"/>
        <v>Oct</v>
      </c>
    </row>
    <row r="366" spans="1:11" x14ac:dyDescent="0.25">
      <c r="A366" s="16" t="s">
        <v>13</v>
      </c>
      <c r="B366" s="4" t="s">
        <v>170</v>
      </c>
      <c r="C366" s="1">
        <v>1526</v>
      </c>
      <c r="D366" s="1" t="s">
        <v>340</v>
      </c>
      <c r="E366" s="1" t="s">
        <v>345</v>
      </c>
      <c r="F366" s="1" t="s">
        <v>349</v>
      </c>
      <c r="G366" s="1">
        <v>44</v>
      </c>
      <c r="H366" s="1">
        <v>7</v>
      </c>
      <c r="I366" s="1" t="s">
        <v>354</v>
      </c>
      <c r="J366" s="1">
        <v>2</v>
      </c>
      <c r="K366" s="17" t="str">
        <f t="shared" si="5"/>
        <v>Mar</v>
      </c>
    </row>
    <row r="367" spans="1:11" x14ac:dyDescent="0.25">
      <c r="A367" s="16" t="s">
        <v>10</v>
      </c>
      <c r="B367" s="4" t="s">
        <v>186</v>
      </c>
      <c r="C367" s="1">
        <v>1418</v>
      </c>
      <c r="D367" s="1" t="s">
        <v>342</v>
      </c>
      <c r="E367" s="1" t="s">
        <v>345</v>
      </c>
      <c r="F367" s="1" t="s">
        <v>349</v>
      </c>
      <c r="G367" s="1">
        <v>46</v>
      </c>
      <c r="H367" s="1">
        <v>5</v>
      </c>
      <c r="I367" s="1" t="s">
        <v>352</v>
      </c>
      <c r="J367" s="1">
        <v>1</v>
      </c>
      <c r="K367" s="17" t="str">
        <f t="shared" si="5"/>
        <v>Dec</v>
      </c>
    </row>
    <row r="368" spans="1:11" x14ac:dyDescent="0.25">
      <c r="A368" s="16" t="s">
        <v>10</v>
      </c>
      <c r="B368" s="1" t="s">
        <v>198</v>
      </c>
      <c r="C368" s="1">
        <v>1249</v>
      </c>
      <c r="D368" s="1" t="s">
        <v>340</v>
      </c>
      <c r="E368" s="1" t="s">
        <v>345</v>
      </c>
      <c r="F368" s="1" t="s">
        <v>350</v>
      </c>
      <c r="G368" s="1">
        <v>11</v>
      </c>
      <c r="H368" s="1">
        <v>2</v>
      </c>
      <c r="I368" s="1" t="s">
        <v>352</v>
      </c>
      <c r="J368" s="1">
        <v>2</v>
      </c>
      <c r="K368" s="17" t="str">
        <f t="shared" si="5"/>
        <v>Mar</v>
      </c>
    </row>
    <row r="369" spans="1:11" x14ac:dyDescent="0.25">
      <c r="A369" s="16" t="s">
        <v>13</v>
      </c>
      <c r="B369" s="1" t="s">
        <v>51</v>
      </c>
      <c r="C369" s="1">
        <v>862</v>
      </c>
      <c r="D369" s="1" t="s">
        <v>341</v>
      </c>
      <c r="E369" s="1" t="s">
        <v>346</v>
      </c>
      <c r="F369" s="1" t="s">
        <v>350</v>
      </c>
      <c r="G369" s="1">
        <v>20</v>
      </c>
      <c r="H369" s="1">
        <v>8</v>
      </c>
      <c r="I369" s="1" t="s">
        <v>352</v>
      </c>
      <c r="J369" s="1">
        <v>4</v>
      </c>
      <c r="K369" s="17" t="str">
        <f t="shared" si="5"/>
        <v>Mar</v>
      </c>
    </row>
    <row r="370" spans="1:11" x14ac:dyDescent="0.25">
      <c r="A370" s="16" t="s">
        <v>13</v>
      </c>
      <c r="B370" s="1" t="s">
        <v>254</v>
      </c>
      <c r="C370" s="1">
        <v>1797</v>
      </c>
      <c r="D370" s="1" t="s">
        <v>340</v>
      </c>
      <c r="E370" s="1" t="s">
        <v>345</v>
      </c>
      <c r="F370" s="1" t="s">
        <v>348</v>
      </c>
      <c r="G370" s="1">
        <v>10</v>
      </c>
      <c r="H370" s="1">
        <v>4</v>
      </c>
      <c r="I370" s="1" t="s">
        <v>351</v>
      </c>
      <c r="J370" s="1">
        <v>2</v>
      </c>
      <c r="K370" s="17" t="str">
        <f t="shared" si="5"/>
        <v>Jun</v>
      </c>
    </row>
    <row r="371" spans="1:11" x14ac:dyDescent="0.25">
      <c r="A371" s="16" t="s">
        <v>10</v>
      </c>
      <c r="B371" s="1" t="s">
        <v>255</v>
      </c>
      <c r="C371" s="1">
        <v>1305</v>
      </c>
      <c r="D371" s="1" t="s">
        <v>342</v>
      </c>
      <c r="E371" s="1" t="s">
        <v>343</v>
      </c>
      <c r="F371" s="1" t="s">
        <v>348</v>
      </c>
      <c r="G371" s="1">
        <v>38</v>
      </c>
      <c r="H371" s="1">
        <v>7</v>
      </c>
      <c r="I371" s="1" t="s">
        <v>352</v>
      </c>
      <c r="J371" s="1">
        <v>1</v>
      </c>
      <c r="K371" s="17" t="str">
        <f t="shared" si="5"/>
        <v>Oct</v>
      </c>
    </row>
    <row r="372" spans="1:11" x14ac:dyDescent="0.25">
      <c r="A372" s="16" t="s">
        <v>10</v>
      </c>
      <c r="B372" s="1" t="s">
        <v>151</v>
      </c>
      <c r="C372" s="1">
        <v>1238</v>
      </c>
      <c r="D372" s="1" t="s">
        <v>342</v>
      </c>
      <c r="E372" s="1" t="s">
        <v>344</v>
      </c>
      <c r="F372" s="1" t="s">
        <v>350</v>
      </c>
      <c r="G372" s="1">
        <v>27</v>
      </c>
      <c r="H372" s="1">
        <v>6</v>
      </c>
      <c r="I372" s="1" t="s">
        <v>353</v>
      </c>
      <c r="J372" s="1">
        <v>5</v>
      </c>
      <c r="K372" s="17" t="str">
        <f t="shared" si="5"/>
        <v>Aug</v>
      </c>
    </row>
    <row r="373" spans="1:11" x14ac:dyDescent="0.25">
      <c r="A373" s="16" t="s">
        <v>11</v>
      </c>
      <c r="B373" s="1" t="s">
        <v>71</v>
      </c>
      <c r="C373" s="1">
        <v>1538</v>
      </c>
      <c r="D373" s="1" t="s">
        <v>342</v>
      </c>
      <c r="E373" s="1" t="s">
        <v>346</v>
      </c>
      <c r="F373" s="1" t="s">
        <v>350</v>
      </c>
      <c r="G373" s="1">
        <v>4</v>
      </c>
      <c r="H373" s="1">
        <v>7</v>
      </c>
      <c r="I373" s="1" t="s">
        <v>353</v>
      </c>
      <c r="J373" s="1">
        <v>0</v>
      </c>
      <c r="K373" s="17" t="str">
        <f t="shared" si="5"/>
        <v>Jan</v>
      </c>
    </row>
    <row r="374" spans="1:11" x14ac:dyDescent="0.25">
      <c r="A374" s="16" t="s">
        <v>11</v>
      </c>
      <c r="B374" s="1" t="s">
        <v>256</v>
      </c>
      <c r="C374" s="1">
        <v>1715</v>
      </c>
      <c r="D374" s="1" t="s">
        <v>341</v>
      </c>
      <c r="E374" s="1" t="s">
        <v>345</v>
      </c>
      <c r="F374" s="1" t="s">
        <v>350</v>
      </c>
      <c r="G374" s="1">
        <v>16</v>
      </c>
      <c r="H374" s="1">
        <v>6</v>
      </c>
      <c r="I374" s="1" t="s">
        <v>351</v>
      </c>
      <c r="J374" s="1">
        <v>3</v>
      </c>
      <c r="K374" s="17" t="str">
        <f t="shared" si="5"/>
        <v>Apr</v>
      </c>
    </row>
    <row r="375" spans="1:11" x14ac:dyDescent="0.25">
      <c r="A375" s="16" t="s">
        <v>13</v>
      </c>
      <c r="B375" s="1" t="s">
        <v>257</v>
      </c>
      <c r="C375" s="1">
        <v>984</v>
      </c>
      <c r="D375" s="1" t="s">
        <v>341</v>
      </c>
      <c r="E375" s="1" t="s">
        <v>346</v>
      </c>
      <c r="F375" s="1" t="s">
        <v>350</v>
      </c>
      <c r="G375" s="1">
        <v>19</v>
      </c>
      <c r="H375" s="1">
        <v>2</v>
      </c>
      <c r="I375" s="1" t="s">
        <v>351</v>
      </c>
      <c r="J375" s="1">
        <v>2</v>
      </c>
      <c r="K375" s="17" t="str">
        <f t="shared" si="5"/>
        <v>Jul</v>
      </c>
    </row>
    <row r="376" spans="1:11" x14ac:dyDescent="0.25">
      <c r="A376" s="16" t="s">
        <v>11</v>
      </c>
      <c r="B376" s="1" t="s">
        <v>118</v>
      </c>
      <c r="C376" s="1">
        <v>527</v>
      </c>
      <c r="D376" s="1" t="s">
        <v>342</v>
      </c>
      <c r="E376" s="1" t="s">
        <v>345</v>
      </c>
      <c r="F376" s="1" t="s">
        <v>347</v>
      </c>
      <c r="G376" s="1">
        <v>40</v>
      </c>
      <c r="H376" s="1">
        <v>1</v>
      </c>
      <c r="I376" s="1" t="s">
        <v>352</v>
      </c>
      <c r="J376" s="1">
        <v>1</v>
      </c>
      <c r="K376" s="17" t="str">
        <f t="shared" si="5"/>
        <v>Oct</v>
      </c>
    </row>
    <row r="377" spans="1:11" x14ac:dyDescent="0.25">
      <c r="A377" s="16" t="s">
        <v>12</v>
      </c>
      <c r="B377" s="1" t="s">
        <v>168</v>
      </c>
      <c r="C377" s="1">
        <v>1213</v>
      </c>
      <c r="D377" s="1" t="s">
        <v>340</v>
      </c>
      <c r="E377" s="1" t="s">
        <v>343</v>
      </c>
      <c r="F377" s="1" t="s">
        <v>350</v>
      </c>
      <c r="G377" s="1">
        <v>45</v>
      </c>
      <c r="H377" s="1">
        <v>6</v>
      </c>
      <c r="I377" s="1" t="s">
        <v>354</v>
      </c>
      <c r="J377" s="1">
        <v>3</v>
      </c>
      <c r="K377" s="17" t="str">
        <f t="shared" si="5"/>
        <v>Dec</v>
      </c>
    </row>
    <row r="378" spans="1:11" x14ac:dyDescent="0.25">
      <c r="A378" s="16" t="s">
        <v>11</v>
      </c>
      <c r="B378" s="1" t="s">
        <v>31</v>
      </c>
      <c r="C378" s="1">
        <v>1562</v>
      </c>
      <c r="D378" s="1" t="s">
        <v>341</v>
      </c>
      <c r="E378" s="1" t="s">
        <v>344</v>
      </c>
      <c r="F378" s="1" t="s">
        <v>348</v>
      </c>
      <c r="G378" s="1">
        <v>11</v>
      </c>
      <c r="H378" s="1">
        <v>2</v>
      </c>
      <c r="I378" s="1" t="s">
        <v>351</v>
      </c>
      <c r="J378" s="1">
        <v>3</v>
      </c>
      <c r="K378" s="17" t="str">
        <f t="shared" si="5"/>
        <v>Sep</v>
      </c>
    </row>
    <row r="379" spans="1:11" x14ac:dyDescent="0.25">
      <c r="A379" s="16" t="s">
        <v>11</v>
      </c>
      <c r="B379" s="4" t="s">
        <v>122</v>
      </c>
      <c r="C379" s="1">
        <v>1796</v>
      </c>
      <c r="D379" s="1" t="s">
        <v>342</v>
      </c>
      <c r="E379" s="1" t="s">
        <v>345</v>
      </c>
      <c r="F379" s="1" t="s">
        <v>349</v>
      </c>
      <c r="G379" s="1">
        <v>5</v>
      </c>
      <c r="H379" s="1">
        <v>2</v>
      </c>
      <c r="I379" s="1" t="s">
        <v>351</v>
      </c>
      <c r="J379" s="1">
        <v>4</v>
      </c>
      <c r="K379" s="17" t="str">
        <f t="shared" si="5"/>
        <v>Nov</v>
      </c>
    </row>
    <row r="380" spans="1:11" x14ac:dyDescent="0.25">
      <c r="A380" s="16" t="s">
        <v>12</v>
      </c>
      <c r="B380" s="1" t="s">
        <v>167</v>
      </c>
      <c r="C380" s="1">
        <v>1754</v>
      </c>
      <c r="D380" s="1" t="s">
        <v>342</v>
      </c>
      <c r="E380" s="1" t="s">
        <v>345</v>
      </c>
      <c r="F380" s="1" t="s">
        <v>347</v>
      </c>
      <c r="G380" s="1">
        <v>16</v>
      </c>
      <c r="H380" s="1">
        <v>1</v>
      </c>
      <c r="I380" s="1" t="s">
        <v>352</v>
      </c>
      <c r="J380" s="1">
        <v>3</v>
      </c>
      <c r="K380" s="17" t="str">
        <f t="shared" si="5"/>
        <v>Jul</v>
      </c>
    </row>
    <row r="381" spans="1:11" x14ac:dyDescent="0.25">
      <c r="A381" s="16" t="s">
        <v>13</v>
      </c>
      <c r="B381" s="1" t="s">
        <v>209</v>
      </c>
      <c r="C381" s="1">
        <v>585</v>
      </c>
      <c r="D381" s="1" t="s">
        <v>341</v>
      </c>
      <c r="E381" s="1" t="s">
        <v>345</v>
      </c>
      <c r="F381" s="1" t="s">
        <v>350</v>
      </c>
      <c r="G381" s="1">
        <v>50</v>
      </c>
      <c r="H381" s="1">
        <v>3</v>
      </c>
      <c r="I381" s="1" t="s">
        <v>352</v>
      </c>
      <c r="J381" s="1">
        <v>5</v>
      </c>
      <c r="K381" s="17" t="str">
        <f t="shared" si="5"/>
        <v>Sep</v>
      </c>
    </row>
    <row r="382" spans="1:11" x14ac:dyDescent="0.25">
      <c r="A382" s="16" t="s">
        <v>12</v>
      </c>
      <c r="B382" s="4" t="s">
        <v>94</v>
      </c>
      <c r="C382" s="1">
        <v>1997</v>
      </c>
      <c r="D382" s="1" t="s">
        <v>341</v>
      </c>
      <c r="E382" s="1" t="s">
        <v>345</v>
      </c>
      <c r="F382" s="1" t="s">
        <v>349</v>
      </c>
      <c r="G382" s="1">
        <v>18</v>
      </c>
      <c r="H382" s="1">
        <v>7</v>
      </c>
      <c r="I382" s="1" t="s">
        <v>351</v>
      </c>
      <c r="J382" s="1">
        <v>1</v>
      </c>
      <c r="K382" s="17" t="str">
        <f t="shared" si="5"/>
        <v>Nov</v>
      </c>
    </row>
    <row r="383" spans="1:11" x14ac:dyDescent="0.25">
      <c r="A383" s="16" t="s">
        <v>11</v>
      </c>
      <c r="B383" s="1" t="s">
        <v>106</v>
      </c>
      <c r="C383" s="1">
        <v>625</v>
      </c>
      <c r="D383" s="1" t="s">
        <v>341</v>
      </c>
      <c r="E383" s="1" t="s">
        <v>344</v>
      </c>
      <c r="F383" s="1" t="s">
        <v>347</v>
      </c>
      <c r="G383" s="1">
        <v>25</v>
      </c>
      <c r="H383" s="1">
        <v>0</v>
      </c>
      <c r="I383" s="1" t="s">
        <v>354</v>
      </c>
      <c r="J383" s="1">
        <v>1</v>
      </c>
      <c r="K383" s="17" t="str">
        <f t="shared" si="5"/>
        <v>Mar</v>
      </c>
    </row>
    <row r="384" spans="1:11" x14ac:dyDescent="0.25">
      <c r="A384" s="16" t="s">
        <v>13</v>
      </c>
      <c r="B384" s="4" t="s">
        <v>55</v>
      </c>
      <c r="C384" s="1">
        <v>1311</v>
      </c>
      <c r="D384" s="1" t="s">
        <v>340</v>
      </c>
      <c r="E384" s="1" t="s">
        <v>344</v>
      </c>
      <c r="F384" s="1" t="s">
        <v>349</v>
      </c>
      <c r="G384" s="1">
        <v>47</v>
      </c>
      <c r="H384" s="1">
        <v>0</v>
      </c>
      <c r="I384" s="1" t="s">
        <v>351</v>
      </c>
      <c r="J384" s="1">
        <v>2</v>
      </c>
      <c r="K384" s="17" t="str">
        <f t="shared" si="5"/>
        <v>Feb</v>
      </c>
    </row>
    <row r="385" spans="1:11" x14ac:dyDescent="0.25">
      <c r="A385" s="16" t="s">
        <v>11</v>
      </c>
      <c r="B385" s="1" t="s">
        <v>258</v>
      </c>
      <c r="C385" s="1">
        <v>1036</v>
      </c>
      <c r="D385" s="1" t="s">
        <v>340</v>
      </c>
      <c r="E385" s="1" t="s">
        <v>343</v>
      </c>
      <c r="F385" s="1" t="s">
        <v>350</v>
      </c>
      <c r="G385" s="1">
        <v>43</v>
      </c>
      <c r="H385" s="1">
        <v>4</v>
      </c>
      <c r="I385" s="1" t="s">
        <v>352</v>
      </c>
      <c r="J385" s="1">
        <v>2</v>
      </c>
      <c r="K385" s="17" t="str">
        <f t="shared" si="5"/>
        <v>Dec</v>
      </c>
    </row>
    <row r="386" spans="1:11" x14ac:dyDescent="0.25">
      <c r="A386" s="16" t="s">
        <v>12</v>
      </c>
      <c r="B386" s="1" t="s">
        <v>83</v>
      </c>
      <c r="C386" s="1">
        <v>644</v>
      </c>
      <c r="D386" s="1" t="s">
        <v>342</v>
      </c>
      <c r="E386" s="1" t="s">
        <v>344</v>
      </c>
      <c r="F386" s="1" t="s">
        <v>350</v>
      </c>
      <c r="G386" s="1">
        <v>43</v>
      </c>
      <c r="H386" s="1">
        <v>10</v>
      </c>
      <c r="I386" s="1" t="s">
        <v>352</v>
      </c>
      <c r="J386" s="1">
        <v>2</v>
      </c>
      <c r="K386" s="17" t="str">
        <f t="shared" si="5"/>
        <v>Jan</v>
      </c>
    </row>
    <row r="387" spans="1:11" x14ac:dyDescent="0.25">
      <c r="A387" s="16" t="s">
        <v>12</v>
      </c>
      <c r="B387" s="1" t="s">
        <v>36</v>
      </c>
      <c r="C387" s="1">
        <v>1735</v>
      </c>
      <c r="D387" s="1" t="s">
        <v>341</v>
      </c>
      <c r="E387" s="1" t="s">
        <v>345</v>
      </c>
      <c r="F387" s="1" t="s">
        <v>348</v>
      </c>
      <c r="G387" s="1">
        <v>31</v>
      </c>
      <c r="H387" s="1">
        <v>4</v>
      </c>
      <c r="I387" s="1" t="s">
        <v>351</v>
      </c>
      <c r="J387" s="1">
        <v>5</v>
      </c>
      <c r="K387" s="17" t="str">
        <f t="shared" si="5"/>
        <v>Jan</v>
      </c>
    </row>
    <row r="388" spans="1:11" x14ac:dyDescent="0.25">
      <c r="A388" s="16" t="s">
        <v>11</v>
      </c>
      <c r="B388" s="1" t="s">
        <v>259</v>
      </c>
      <c r="C388" s="1">
        <v>524</v>
      </c>
      <c r="D388" s="1" t="s">
        <v>340</v>
      </c>
      <c r="E388" s="1" t="s">
        <v>343</v>
      </c>
      <c r="F388" s="1" t="s">
        <v>350</v>
      </c>
      <c r="G388" s="1">
        <v>5</v>
      </c>
      <c r="H388" s="1">
        <v>10</v>
      </c>
      <c r="I388" s="1" t="s">
        <v>354</v>
      </c>
      <c r="J388" s="1">
        <v>3</v>
      </c>
      <c r="K388" s="17" t="str">
        <f t="shared" ref="K388:K451" si="6">TEXT(B388,"mmm")</f>
        <v>Mar</v>
      </c>
    </row>
    <row r="389" spans="1:11" x14ac:dyDescent="0.25">
      <c r="A389" s="16" t="s">
        <v>10</v>
      </c>
      <c r="B389" s="1" t="s">
        <v>97</v>
      </c>
      <c r="C389" s="1">
        <v>1917</v>
      </c>
      <c r="D389" s="1" t="s">
        <v>341</v>
      </c>
      <c r="E389" s="1" t="s">
        <v>343</v>
      </c>
      <c r="F389" s="1" t="s">
        <v>350</v>
      </c>
      <c r="G389" s="1">
        <v>35</v>
      </c>
      <c r="H389" s="1">
        <v>0</v>
      </c>
      <c r="I389" s="1" t="s">
        <v>351</v>
      </c>
      <c r="J389" s="1">
        <v>3</v>
      </c>
      <c r="K389" s="17" t="str">
        <f t="shared" si="6"/>
        <v>Jul</v>
      </c>
    </row>
    <row r="390" spans="1:11" x14ac:dyDescent="0.25">
      <c r="A390" s="16" t="s">
        <v>10</v>
      </c>
      <c r="B390" s="1" t="s">
        <v>192</v>
      </c>
      <c r="C390" s="1">
        <v>566</v>
      </c>
      <c r="D390" s="1" t="s">
        <v>342</v>
      </c>
      <c r="E390" s="1" t="s">
        <v>343</v>
      </c>
      <c r="F390" s="1" t="s">
        <v>347</v>
      </c>
      <c r="G390" s="1">
        <v>37</v>
      </c>
      <c r="H390" s="1">
        <v>5</v>
      </c>
      <c r="I390" s="1" t="s">
        <v>351</v>
      </c>
      <c r="J390" s="1">
        <v>4</v>
      </c>
      <c r="K390" s="17" t="str">
        <f t="shared" si="6"/>
        <v>Nov</v>
      </c>
    </row>
    <row r="391" spans="1:11" x14ac:dyDescent="0.25">
      <c r="A391" s="16" t="s">
        <v>12</v>
      </c>
      <c r="B391" s="1" t="s">
        <v>260</v>
      </c>
      <c r="C391" s="1">
        <v>732</v>
      </c>
      <c r="D391" s="1" t="s">
        <v>340</v>
      </c>
      <c r="E391" s="1" t="s">
        <v>345</v>
      </c>
      <c r="F391" s="1" t="s">
        <v>348</v>
      </c>
      <c r="G391" s="1">
        <v>10</v>
      </c>
      <c r="H391" s="1">
        <v>0</v>
      </c>
      <c r="I391" s="1" t="s">
        <v>352</v>
      </c>
      <c r="J391" s="1">
        <v>5</v>
      </c>
      <c r="K391" s="17" t="str">
        <f t="shared" si="6"/>
        <v>Feb</v>
      </c>
    </row>
    <row r="392" spans="1:11" x14ac:dyDescent="0.25">
      <c r="A392" s="16" t="s">
        <v>12</v>
      </c>
      <c r="B392" s="1" t="s">
        <v>58</v>
      </c>
      <c r="C392" s="1">
        <v>608</v>
      </c>
      <c r="D392" s="1" t="s">
        <v>340</v>
      </c>
      <c r="E392" s="1" t="s">
        <v>346</v>
      </c>
      <c r="F392" s="1" t="s">
        <v>347</v>
      </c>
      <c r="G392" s="1">
        <v>32</v>
      </c>
      <c r="H392" s="1">
        <v>4</v>
      </c>
      <c r="I392" s="1" t="s">
        <v>354</v>
      </c>
      <c r="J392" s="1">
        <v>2</v>
      </c>
      <c r="K392" s="17" t="str">
        <f t="shared" si="6"/>
        <v>Dec</v>
      </c>
    </row>
    <row r="393" spans="1:11" x14ac:dyDescent="0.25">
      <c r="A393" s="16" t="s">
        <v>10</v>
      </c>
      <c r="B393" s="4" t="s">
        <v>261</v>
      </c>
      <c r="C393" s="1">
        <v>1669</v>
      </c>
      <c r="D393" s="1" t="s">
        <v>340</v>
      </c>
      <c r="E393" s="1" t="s">
        <v>345</v>
      </c>
      <c r="F393" s="1" t="s">
        <v>349</v>
      </c>
      <c r="G393" s="1">
        <v>23</v>
      </c>
      <c r="H393" s="1">
        <v>8</v>
      </c>
      <c r="I393" s="1" t="s">
        <v>353</v>
      </c>
      <c r="J393" s="1">
        <v>0</v>
      </c>
      <c r="K393" s="17" t="str">
        <f t="shared" si="6"/>
        <v>Aug</v>
      </c>
    </row>
    <row r="394" spans="1:11" x14ac:dyDescent="0.25">
      <c r="A394" s="16" t="s">
        <v>10</v>
      </c>
      <c r="B394" s="1" t="s">
        <v>262</v>
      </c>
      <c r="C394" s="1">
        <v>610</v>
      </c>
      <c r="D394" s="1" t="s">
        <v>342</v>
      </c>
      <c r="E394" s="1" t="s">
        <v>344</v>
      </c>
      <c r="F394" s="1" t="s">
        <v>350</v>
      </c>
      <c r="G394" s="1">
        <v>22</v>
      </c>
      <c r="H394" s="1">
        <v>4</v>
      </c>
      <c r="I394" s="1" t="s">
        <v>354</v>
      </c>
      <c r="J394" s="1">
        <v>4</v>
      </c>
      <c r="K394" s="17" t="str">
        <f t="shared" si="6"/>
        <v>Jun</v>
      </c>
    </row>
    <row r="395" spans="1:11" x14ac:dyDescent="0.25">
      <c r="A395" s="16" t="s">
        <v>11</v>
      </c>
      <c r="B395" s="4" t="s">
        <v>111</v>
      </c>
      <c r="C395" s="1">
        <v>727</v>
      </c>
      <c r="D395" s="1" t="s">
        <v>341</v>
      </c>
      <c r="E395" s="1" t="s">
        <v>344</v>
      </c>
      <c r="F395" s="1" t="s">
        <v>349</v>
      </c>
      <c r="G395" s="1">
        <v>14</v>
      </c>
      <c r="H395" s="1">
        <v>5</v>
      </c>
      <c r="I395" s="1" t="s">
        <v>351</v>
      </c>
      <c r="J395" s="1">
        <v>0</v>
      </c>
      <c r="K395" s="17" t="str">
        <f t="shared" si="6"/>
        <v>Oct</v>
      </c>
    </row>
    <row r="396" spans="1:11" x14ac:dyDescent="0.25">
      <c r="A396" s="16" t="s">
        <v>11</v>
      </c>
      <c r="B396" s="1" t="s">
        <v>28</v>
      </c>
      <c r="C396" s="1">
        <v>610</v>
      </c>
      <c r="D396" s="1" t="s">
        <v>340</v>
      </c>
      <c r="E396" s="1" t="s">
        <v>345</v>
      </c>
      <c r="F396" s="1" t="s">
        <v>347</v>
      </c>
      <c r="G396" s="1">
        <v>26</v>
      </c>
      <c r="H396" s="1">
        <v>7</v>
      </c>
      <c r="I396" s="1" t="s">
        <v>351</v>
      </c>
      <c r="J396" s="1">
        <v>3</v>
      </c>
      <c r="K396" s="17" t="str">
        <f t="shared" si="6"/>
        <v>Jun</v>
      </c>
    </row>
    <row r="397" spans="1:11" x14ac:dyDescent="0.25">
      <c r="A397" s="16" t="s">
        <v>10</v>
      </c>
      <c r="B397" s="1" t="s">
        <v>179</v>
      </c>
      <c r="C397" s="1">
        <v>1993</v>
      </c>
      <c r="D397" s="1" t="s">
        <v>342</v>
      </c>
      <c r="E397" s="1" t="s">
        <v>345</v>
      </c>
      <c r="F397" s="1" t="s">
        <v>350</v>
      </c>
      <c r="G397" s="1">
        <v>10</v>
      </c>
      <c r="H397" s="1">
        <v>10</v>
      </c>
      <c r="I397" s="1" t="s">
        <v>351</v>
      </c>
      <c r="J397" s="1">
        <v>4</v>
      </c>
      <c r="K397" s="17" t="str">
        <f t="shared" si="6"/>
        <v>Sep</v>
      </c>
    </row>
    <row r="398" spans="1:11" x14ac:dyDescent="0.25">
      <c r="A398" s="16" t="s">
        <v>11</v>
      </c>
      <c r="B398" s="1" t="s">
        <v>217</v>
      </c>
      <c r="C398" s="1">
        <v>533</v>
      </c>
      <c r="D398" s="1" t="s">
        <v>341</v>
      </c>
      <c r="E398" s="1" t="s">
        <v>343</v>
      </c>
      <c r="F398" s="1" t="s">
        <v>350</v>
      </c>
      <c r="G398" s="1">
        <v>50</v>
      </c>
      <c r="H398" s="1">
        <v>0</v>
      </c>
      <c r="I398" s="1" t="s">
        <v>354</v>
      </c>
      <c r="J398" s="1">
        <v>4</v>
      </c>
      <c r="K398" s="17" t="str">
        <f t="shared" si="6"/>
        <v>Jan</v>
      </c>
    </row>
    <row r="399" spans="1:11" x14ac:dyDescent="0.25">
      <c r="A399" s="16" t="s">
        <v>11</v>
      </c>
      <c r="B399" s="1" t="s">
        <v>263</v>
      </c>
      <c r="C399" s="1">
        <v>1122</v>
      </c>
      <c r="D399" s="1" t="s">
        <v>342</v>
      </c>
      <c r="E399" s="1" t="s">
        <v>345</v>
      </c>
      <c r="F399" s="1" t="s">
        <v>347</v>
      </c>
      <c r="G399" s="1">
        <v>49</v>
      </c>
      <c r="H399" s="1">
        <v>1</v>
      </c>
      <c r="I399" s="1" t="s">
        <v>352</v>
      </c>
      <c r="J399" s="1">
        <v>1</v>
      </c>
      <c r="K399" s="17" t="str">
        <f t="shared" si="6"/>
        <v>Jul</v>
      </c>
    </row>
    <row r="400" spans="1:11" x14ac:dyDescent="0.25">
      <c r="A400" s="16" t="s">
        <v>13</v>
      </c>
      <c r="B400" s="1" t="s">
        <v>163</v>
      </c>
      <c r="C400" s="1">
        <v>1892</v>
      </c>
      <c r="D400" s="1" t="s">
        <v>341</v>
      </c>
      <c r="E400" s="1" t="s">
        <v>343</v>
      </c>
      <c r="F400" s="1" t="s">
        <v>347</v>
      </c>
      <c r="G400" s="1">
        <v>16</v>
      </c>
      <c r="H400" s="1">
        <v>8</v>
      </c>
      <c r="I400" s="1" t="s">
        <v>351</v>
      </c>
      <c r="J400" s="1">
        <v>3</v>
      </c>
      <c r="K400" s="17" t="str">
        <f t="shared" si="6"/>
        <v>Dec</v>
      </c>
    </row>
    <row r="401" spans="1:11" x14ac:dyDescent="0.25">
      <c r="A401" s="16" t="s">
        <v>11</v>
      </c>
      <c r="B401" s="1" t="s">
        <v>190</v>
      </c>
      <c r="C401" s="1">
        <v>1247</v>
      </c>
      <c r="D401" s="1" t="s">
        <v>342</v>
      </c>
      <c r="E401" s="1" t="s">
        <v>344</v>
      </c>
      <c r="F401" s="1" t="s">
        <v>347</v>
      </c>
      <c r="G401" s="1">
        <v>50</v>
      </c>
      <c r="H401" s="1">
        <v>2</v>
      </c>
      <c r="I401" s="1" t="s">
        <v>351</v>
      </c>
      <c r="J401" s="1">
        <v>3</v>
      </c>
      <c r="K401" s="17" t="str">
        <f t="shared" si="6"/>
        <v>Jun</v>
      </c>
    </row>
    <row r="402" spans="1:11" x14ac:dyDescent="0.25">
      <c r="A402" s="16" t="s">
        <v>12</v>
      </c>
      <c r="B402" s="1" t="s">
        <v>50</v>
      </c>
      <c r="C402" s="1">
        <v>1094</v>
      </c>
      <c r="D402" s="1" t="s">
        <v>341</v>
      </c>
      <c r="E402" s="1" t="s">
        <v>343</v>
      </c>
      <c r="F402" s="1" t="s">
        <v>347</v>
      </c>
      <c r="G402" s="1">
        <v>13</v>
      </c>
      <c r="H402" s="1">
        <v>5</v>
      </c>
      <c r="I402" s="1" t="s">
        <v>354</v>
      </c>
      <c r="J402" s="1">
        <v>5</v>
      </c>
      <c r="K402" s="17" t="str">
        <f t="shared" si="6"/>
        <v>Feb</v>
      </c>
    </row>
    <row r="403" spans="1:11" x14ac:dyDescent="0.25">
      <c r="A403" s="16" t="s">
        <v>11</v>
      </c>
      <c r="B403" s="1" t="s">
        <v>264</v>
      </c>
      <c r="C403" s="1">
        <v>924</v>
      </c>
      <c r="D403" s="1" t="s">
        <v>340</v>
      </c>
      <c r="E403" s="1" t="s">
        <v>345</v>
      </c>
      <c r="F403" s="1" t="s">
        <v>347</v>
      </c>
      <c r="G403" s="1">
        <v>26</v>
      </c>
      <c r="H403" s="1">
        <v>4</v>
      </c>
      <c r="I403" s="1" t="s">
        <v>353</v>
      </c>
      <c r="J403" s="1">
        <v>4</v>
      </c>
      <c r="K403" s="17" t="str">
        <f t="shared" si="6"/>
        <v>Jun</v>
      </c>
    </row>
    <row r="404" spans="1:11" x14ac:dyDescent="0.25">
      <c r="A404" s="16" t="s">
        <v>11</v>
      </c>
      <c r="B404" s="1" t="s">
        <v>180</v>
      </c>
      <c r="C404" s="1">
        <v>1112</v>
      </c>
      <c r="D404" s="1" t="s">
        <v>341</v>
      </c>
      <c r="E404" s="1" t="s">
        <v>344</v>
      </c>
      <c r="F404" s="1" t="s">
        <v>350</v>
      </c>
      <c r="G404" s="1">
        <v>17</v>
      </c>
      <c r="H404" s="1">
        <v>10</v>
      </c>
      <c r="I404" s="1" t="s">
        <v>353</v>
      </c>
      <c r="J404" s="1">
        <v>3</v>
      </c>
      <c r="K404" s="17" t="str">
        <f t="shared" si="6"/>
        <v>May</v>
      </c>
    </row>
    <row r="405" spans="1:11" x14ac:dyDescent="0.25">
      <c r="A405" s="16" t="s">
        <v>10</v>
      </c>
      <c r="B405" s="1" t="s">
        <v>155</v>
      </c>
      <c r="C405" s="1">
        <v>1191</v>
      </c>
      <c r="D405" s="1" t="s">
        <v>342</v>
      </c>
      <c r="E405" s="1" t="s">
        <v>346</v>
      </c>
      <c r="F405" s="1" t="s">
        <v>347</v>
      </c>
      <c r="G405" s="1">
        <v>27</v>
      </c>
      <c r="H405" s="1">
        <v>1</v>
      </c>
      <c r="I405" s="1" t="s">
        <v>352</v>
      </c>
      <c r="J405" s="1">
        <v>4</v>
      </c>
      <c r="K405" s="17" t="str">
        <f t="shared" si="6"/>
        <v>Mar</v>
      </c>
    </row>
    <row r="406" spans="1:11" x14ac:dyDescent="0.25">
      <c r="A406" s="16" t="s">
        <v>12</v>
      </c>
      <c r="B406" s="1" t="s">
        <v>265</v>
      </c>
      <c r="C406" s="1">
        <v>1805</v>
      </c>
      <c r="D406" s="1" t="s">
        <v>342</v>
      </c>
      <c r="E406" s="1" t="s">
        <v>343</v>
      </c>
      <c r="F406" s="1" t="s">
        <v>350</v>
      </c>
      <c r="G406" s="1">
        <v>50</v>
      </c>
      <c r="H406" s="1">
        <v>6</v>
      </c>
      <c r="I406" s="1" t="s">
        <v>352</v>
      </c>
      <c r="J406" s="1">
        <v>5</v>
      </c>
      <c r="K406" s="17" t="str">
        <f t="shared" si="6"/>
        <v>Dec</v>
      </c>
    </row>
    <row r="407" spans="1:11" x14ac:dyDescent="0.25">
      <c r="A407" s="16" t="s">
        <v>11</v>
      </c>
      <c r="B407" s="1" t="s">
        <v>49</v>
      </c>
      <c r="C407" s="1">
        <v>1843</v>
      </c>
      <c r="D407" s="1" t="s">
        <v>341</v>
      </c>
      <c r="E407" s="1" t="s">
        <v>344</v>
      </c>
      <c r="F407" s="1" t="s">
        <v>350</v>
      </c>
      <c r="G407" s="1">
        <v>46</v>
      </c>
      <c r="H407" s="1">
        <v>3</v>
      </c>
      <c r="I407" s="1" t="s">
        <v>351</v>
      </c>
      <c r="J407" s="1">
        <v>5</v>
      </c>
      <c r="K407" s="17" t="str">
        <f t="shared" si="6"/>
        <v>Apr</v>
      </c>
    </row>
    <row r="408" spans="1:11" x14ac:dyDescent="0.25">
      <c r="A408" s="16" t="s">
        <v>11</v>
      </c>
      <c r="B408" s="1" t="s">
        <v>197</v>
      </c>
      <c r="C408" s="1">
        <v>1966</v>
      </c>
      <c r="D408" s="1" t="s">
        <v>340</v>
      </c>
      <c r="E408" s="1" t="s">
        <v>343</v>
      </c>
      <c r="F408" s="1" t="s">
        <v>347</v>
      </c>
      <c r="G408" s="1">
        <v>46</v>
      </c>
      <c r="H408" s="1">
        <v>0</v>
      </c>
      <c r="I408" s="1" t="s">
        <v>354</v>
      </c>
      <c r="J408" s="1">
        <v>1</v>
      </c>
      <c r="K408" s="17" t="str">
        <f t="shared" si="6"/>
        <v>Oct</v>
      </c>
    </row>
    <row r="409" spans="1:11" x14ac:dyDescent="0.25">
      <c r="A409" s="16" t="s">
        <v>13</v>
      </c>
      <c r="B409" s="1" t="s">
        <v>148</v>
      </c>
      <c r="C409" s="1">
        <v>814</v>
      </c>
      <c r="D409" s="1" t="s">
        <v>340</v>
      </c>
      <c r="E409" s="1" t="s">
        <v>344</v>
      </c>
      <c r="F409" s="1" t="s">
        <v>347</v>
      </c>
      <c r="G409" s="1">
        <v>3</v>
      </c>
      <c r="H409" s="1">
        <v>3</v>
      </c>
      <c r="I409" s="1" t="s">
        <v>351</v>
      </c>
      <c r="J409" s="1">
        <v>4</v>
      </c>
      <c r="K409" s="17" t="str">
        <f t="shared" si="6"/>
        <v>May</v>
      </c>
    </row>
    <row r="410" spans="1:11" x14ac:dyDescent="0.25">
      <c r="A410" s="16" t="s">
        <v>11</v>
      </c>
      <c r="B410" s="1" t="s">
        <v>73</v>
      </c>
      <c r="C410" s="1">
        <v>1376</v>
      </c>
      <c r="D410" s="1" t="s">
        <v>341</v>
      </c>
      <c r="E410" s="1" t="s">
        <v>344</v>
      </c>
      <c r="F410" s="1" t="s">
        <v>348</v>
      </c>
      <c r="G410" s="1">
        <v>6</v>
      </c>
      <c r="H410" s="1">
        <v>5</v>
      </c>
      <c r="I410" s="1" t="s">
        <v>352</v>
      </c>
      <c r="J410" s="1">
        <v>3</v>
      </c>
      <c r="K410" s="17" t="str">
        <f t="shared" si="6"/>
        <v>Apr</v>
      </c>
    </row>
    <row r="411" spans="1:11" x14ac:dyDescent="0.25">
      <c r="A411" s="16" t="s">
        <v>11</v>
      </c>
      <c r="B411" s="1" t="s">
        <v>266</v>
      </c>
      <c r="C411" s="1">
        <v>1900</v>
      </c>
      <c r="D411" s="1" t="s">
        <v>341</v>
      </c>
      <c r="E411" s="1" t="s">
        <v>343</v>
      </c>
      <c r="F411" s="1" t="s">
        <v>350</v>
      </c>
      <c r="G411" s="1">
        <v>44</v>
      </c>
      <c r="H411" s="1">
        <v>6</v>
      </c>
      <c r="I411" s="1" t="s">
        <v>354</v>
      </c>
      <c r="J411" s="1">
        <v>3</v>
      </c>
      <c r="K411" s="17" t="str">
        <f t="shared" si="6"/>
        <v>Jul</v>
      </c>
    </row>
    <row r="412" spans="1:11" x14ac:dyDescent="0.25">
      <c r="A412" s="16" t="s">
        <v>13</v>
      </c>
      <c r="B412" s="1" t="s">
        <v>252</v>
      </c>
      <c r="C412" s="1">
        <v>1812</v>
      </c>
      <c r="D412" s="1" t="s">
        <v>342</v>
      </c>
      <c r="E412" s="1" t="s">
        <v>346</v>
      </c>
      <c r="F412" s="1" t="s">
        <v>347</v>
      </c>
      <c r="G412" s="1">
        <v>34</v>
      </c>
      <c r="H412" s="1">
        <v>6</v>
      </c>
      <c r="I412" s="1" t="s">
        <v>354</v>
      </c>
      <c r="J412" s="1">
        <v>4</v>
      </c>
      <c r="K412" s="17" t="str">
        <f t="shared" si="6"/>
        <v>Nov</v>
      </c>
    </row>
    <row r="413" spans="1:11" x14ac:dyDescent="0.25">
      <c r="A413" s="16" t="s">
        <v>10</v>
      </c>
      <c r="B413" s="1" t="s">
        <v>89</v>
      </c>
      <c r="C413" s="1">
        <v>1960</v>
      </c>
      <c r="D413" s="1" t="s">
        <v>340</v>
      </c>
      <c r="E413" s="1" t="s">
        <v>344</v>
      </c>
      <c r="F413" s="1" t="s">
        <v>347</v>
      </c>
      <c r="G413" s="1">
        <v>47</v>
      </c>
      <c r="H413" s="1">
        <v>6</v>
      </c>
      <c r="I413" s="1" t="s">
        <v>352</v>
      </c>
      <c r="J413" s="1">
        <v>4</v>
      </c>
      <c r="K413" s="17" t="str">
        <f t="shared" si="6"/>
        <v>Oct</v>
      </c>
    </row>
    <row r="414" spans="1:11" x14ac:dyDescent="0.25">
      <c r="A414" s="16" t="s">
        <v>11</v>
      </c>
      <c r="B414" s="1" t="s">
        <v>191</v>
      </c>
      <c r="C414" s="1">
        <v>1161</v>
      </c>
      <c r="D414" s="1" t="s">
        <v>341</v>
      </c>
      <c r="E414" s="1" t="s">
        <v>344</v>
      </c>
      <c r="F414" s="1" t="s">
        <v>347</v>
      </c>
      <c r="G414" s="1">
        <v>8</v>
      </c>
      <c r="H414" s="1">
        <v>2</v>
      </c>
      <c r="I414" s="1" t="s">
        <v>353</v>
      </c>
      <c r="J414" s="1">
        <v>4</v>
      </c>
      <c r="K414" s="17" t="str">
        <f t="shared" si="6"/>
        <v>Aug</v>
      </c>
    </row>
    <row r="415" spans="1:11" x14ac:dyDescent="0.25">
      <c r="A415" s="16" t="s">
        <v>13</v>
      </c>
      <c r="B415" s="1" t="s">
        <v>267</v>
      </c>
      <c r="C415" s="1">
        <v>776</v>
      </c>
      <c r="D415" s="1" t="s">
        <v>340</v>
      </c>
      <c r="E415" s="1" t="s">
        <v>344</v>
      </c>
      <c r="F415" s="1" t="s">
        <v>348</v>
      </c>
      <c r="G415" s="1">
        <v>7</v>
      </c>
      <c r="H415" s="1">
        <v>5</v>
      </c>
      <c r="I415" s="1" t="s">
        <v>353</v>
      </c>
      <c r="J415" s="1">
        <v>2</v>
      </c>
      <c r="K415" s="17" t="str">
        <f t="shared" si="6"/>
        <v>Mar</v>
      </c>
    </row>
    <row r="416" spans="1:11" x14ac:dyDescent="0.25">
      <c r="A416" s="16" t="s">
        <v>12</v>
      </c>
      <c r="B416" s="1" t="s">
        <v>72</v>
      </c>
      <c r="C416" s="1">
        <v>1123</v>
      </c>
      <c r="D416" s="1" t="s">
        <v>341</v>
      </c>
      <c r="E416" s="1" t="s">
        <v>346</v>
      </c>
      <c r="F416" s="1" t="s">
        <v>348</v>
      </c>
      <c r="G416" s="1">
        <v>44</v>
      </c>
      <c r="H416" s="1">
        <v>7</v>
      </c>
      <c r="I416" s="1" t="s">
        <v>354</v>
      </c>
      <c r="J416" s="1">
        <v>3</v>
      </c>
      <c r="K416" s="17" t="str">
        <f t="shared" si="6"/>
        <v>Mar</v>
      </c>
    </row>
    <row r="417" spans="1:11" x14ac:dyDescent="0.25">
      <c r="A417" s="16" t="s">
        <v>10</v>
      </c>
      <c r="B417" s="4" t="s">
        <v>107</v>
      </c>
      <c r="C417" s="1">
        <v>1015</v>
      </c>
      <c r="D417" s="1" t="s">
        <v>341</v>
      </c>
      <c r="E417" s="1" t="s">
        <v>346</v>
      </c>
      <c r="F417" s="1" t="s">
        <v>349</v>
      </c>
      <c r="G417" s="1">
        <v>16</v>
      </c>
      <c r="H417" s="1">
        <v>3</v>
      </c>
      <c r="I417" s="1" t="s">
        <v>351</v>
      </c>
      <c r="J417" s="1">
        <v>5</v>
      </c>
      <c r="K417" s="17" t="str">
        <f t="shared" si="6"/>
        <v>Feb</v>
      </c>
    </row>
    <row r="418" spans="1:11" x14ac:dyDescent="0.25">
      <c r="A418" s="16" t="s">
        <v>12</v>
      </c>
      <c r="B418" s="1" t="s">
        <v>215</v>
      </c>
      <c r="C418" s="1">
        <v>1873</v>
      </c>
      <c r="D418" s="1" t="s">
        <v>340</v>
      </c>
      <c r="E418" s="1" t="s">
        <v>345</v>
      </c>
      <c r="F418" s="1" t="s">
        <v>350</v>
      </c>
      <c r="G418" s="1">
        <v>16</v>
      </c>
      <c r="H418" s="1">
        <v>7</v>
      </c>
      <c r="I418" s="1" t="s">
        <v>353</v>
      </c>
      <c r="J418" s="1">
        <v>3</v>
      </c>
      <c r="K418" s="17" t="str">
        <f t="shared" si="6"/>
        <v>Dec</v>
      </c>
    </row>
    <row r="419" spans="1:11" x14ac:dyDescent="0.25">
      <c r="A419" s="16" t="s">
        <v>12</v>
      </c>
      <c r="B419" s="4" t="s">
        <v>182</v>
      </c>
      <c r="C419" s="1">
        <v>1342</v>
      </c>
      <c r="D419" s="1" t="s">
        <v>341</v>
      </c>
      <c r="E419" s="1" t="s">
        <v>343</v>
      </c>
      <c r="F419" s="1" t="s">
        <v>349</v>
      </c>
      <c r="G419" s="1">
        <v>48</v>
      </c>
      <c r="H419" s="1">
        <v>1</v>
      </c>
      <c r="I419" s="1" t="s">
        <v>351</v>
      </c>
      <c r="J419" s="1">
        <v>2</v>
      </c>
      <c r="K419" s="17" t="str">
        <f t="shared" si="6"/>
        <v>Dec</v>
      </c>
    </row>
    <row r="420" spans="1:11" x14ac:dyDescent="0.25">
      <c r="A420" s="16" t="s">
        <v>13</v>
      </c>
      <c r="B420" s="1" t="s">
        <v>268</v>
      </c>
      <c r="C420" s="1">
        <v>1969</v>
      </c>
      <c r="D420" s="1" t="s">
        <v>341</v>
      </c>
      <c r="E420" s="1" t="s">
        <v>346</v>
      </c>
      <c r="F420" s="1" t="s">
        <v>347</v>
      </c>
      <c r="G420" s="1">
        <v>32</v>
      </c>
      <c r="H420" s="1">
        <v>9</v>
      </c>
      <c r="I420" s="1" t="s">
        <v>353</v>
      </c>
      <c r="J420" s="1">
        <v>4</v>
      </c>
      <c r="K420" s="17" t="str">
        <f t="shared" si="6"/>
        <v>Dec</v>
      </c>
    </row>
    <row r="421" spans="1:11" x14ac:dyDescent="0.25">
      <c r="A421" s="16" t="s">
        <v>11</v>
      </c>
      <c r="B421" s="1" t="s">
        <v>241</v>
      </c>
      <c r="C421" s="1">
        <v>849</v>
      </c>
      <c r="D421" s="1" t="s">
        <v>342</v>
      </c>
      <c r="E421" s="1" t="s">
        <v>343</v>
      </c>
      <c r="F421" s="1" t="s">
        <v>348</v>
      </c>
      <c r="G421" s="1">
        <v>31</v>
      </c>
      <c r="H421" s="1">
        <v>8</v>
      </c>
      <c r="I421" s="1" t="s">
        <v>353</v>
      </c>
      <c r="J421" s="1">
        <v>1</v>
      </c>
      <c r="K421" s="17" t="str">
        <f t="shared" si="6"/>
        <v>May</v>
      </c>
    </row>
    <row r="422" spans="1:11" x14ac:dyDescent="0.25">
      <c r="A422" s="16" t="s">
        <v>13</v>
      </c>
      <c r="B422" s="1" t="s">
        <v>92</v>
      </c>
      <c r="C422" s="1">
        <v>1322</v>
      </c>
      <c r="D422" s="1" t="s">
        <v>341</v>
      </c>
      <c r="E422" s="1" t="s">
        <v>345</v>
      </c>
      <c r="F422" s="1" t="s">
        <v>348</v>
      </c>
      <c r="G422" s="1">
        <v>7</v>
      </c>
      <c r="H422" s="1">
        <v>8</v>
      </c>
      <c r="I422" s="1" t="s">
        <v>351</v>
      </c>
      <c r="J422" s="1">
        <v>4</v>
      </c>
      <c r="K422" s="17" t="str">
        <f t="shared" si="6"/>
        <v>Apr</v>
      </c>
    </row>
    <row r="423" spans="1:11" x14ac:dyDescent="0.25">
      <c r="A423" s="16" t="s">
        <v>13</v>
      </c>
      <c r="B423" s="4" t="s">
        <v>188</v>
      </c>
      <c r="C423" s="1">
        <v>1660</v>
      </c>
      <c r="D423" s="1" t="s">
        <v>341</v>
      </c>
      <c r="E423" s="1" t="s">
        <v>343</v>
      </c>
      <c r="F423" s="1" t="s">
        <v>349</v>
      </c>
      <c r="G423" s="1">
        <v>18</v>
      </c>
      <c r="H423" s="1">
        <v>7</v>
      </c>
      <c r="I423" s="1" t="s">
        <v>352</v>
      </c>
      <c r="J423" s="1">
        <v>4</v>
      </c>
      <c r="K423" s="17" t="str">
        <f t="shared" si="6"/>
        <v>Jul</v>
      </c>
    </row>
    <row r="424" spans="1:11" x14ac:dyDescent="0.25">
      <c r="A424" s="16" t="s">
        <v>13</v>
      </c>
      <c r="B424" s="1" t="s">
        <v>228</v>
      </c>
      <c r="C424" s="1">
        <v>1258</v>
      </c>
      <c r="D424" s="1" t="s">
        <v>341</v>
      </c>
      <c r="E424" s="1" t="s">
        <v>346</v>
      </c>
      <c r="F424" s="1" t="s">
        <v>348</v>
      </c>
      <c r="G424" s="1">
        <v>37</v>
      </c>
      <c r="H424" s="1">
        <v>9</v>
      </c>
      <c r="I424" s="1" t="s">
        <v>353</v>
      </c>
      <c r="J424" s="1">
        <v>2</v>
      </c>
      <c r="K424" s="17" t="str">
        <f t="shared" si="6"/>
        <v>Apr</v>
      </c>
    </row>
    <row r="425" spans="1:11" x14ac:dyDescent="0.25">
      <c r="A425" s="16" t="s">
        <v>13</v>
      </c>
      <c r="B425" s="1" t="s">
        <v>123</v>
      </c>
      <c r="C425" s="1">
        <v>1398</v>
      </c>
      <c r="D425" s="1" t="s">
        <v>342</v>
      </c>
      <c r="E425" s="1" t="s">
        <v>343</v>
      </c>
      <c r="F425" s="1" t="s">
        <v>347</v>
      </c>
      <c r="G425" s="1">
        <v>2</v>
      </c>
      <c r="H425" s="1">
        <v>9</v>
      </c>
      <c r="I425" s="1" t="s">
        <v>353</v>
      </c>
      <c r="J425" s="1">
        <v>3</v>
      </c>
      <c r="K425" s="17" t="str">
        <f t="shared" si="6"/>
        <v>Jun</v>
      </c>
    </row>
    <row r="426" spans="1:11" x14ac:dyDescent="0.25">
      <c r="A426" s="16" t="s">
        <v>10</v>
      </c>
      <c r="B426" s="1" t="s">
        <v>120</v>
      </c>
      <c r="C426" s="1">
        <v>742</v>
      </c>
      <c r="D426" s="1" t="s">
        <v>340</v>
      </c>
      <c r="E426" s="1" t="s">
        <v>346</v>
      </c>
      <c r="F426" s="1" t="s">
        <v>348</v>
      </c>
      <c r="G426" s="1">
        <v>4</v>
      </c>
      <c r="H426" s="1">
        <v>0</v>
      </c>
      <c r="I426" s="1" t="s">
        <v>351</v>
      </c>
      <c r="J426" s="1">
        <v>4</v>
      </c>
      <c r="K426" s="17" t="str">
        <f t="shared" si="6"/>
        <v>Nov</v>
      </c>
    </row>
    <row r="427" spans="1:11" x14ac:dyDescent="0.25">
      <c r="A427" s="16" t="s">
        <v>11</v>
      </c>
      <c r="B427" s="4" t="s">
        <v>269</v>
      </c>
      <c r="C427" s="1">
        <v>1042</v>
      </c>
      <c r="D427" s="1" t="s">
        <v>342</v>
      </c>
      <c r="E427" s="1" t="s">
        <v>343</v>
      </c>
      <c r="F427" s="1" t="s">
        <v>349</v>
      </c>
      <c r="G427" s="1">
        <v>12</v>
      </c>
      <c r="H427" s="1">
        <v>1</v>
      </c>
      <c r="I427" s="1" t="s">
        <v>352</v>
      </c>
      <c r="J427" s="1">
        <v>3</v>
      </c>
      <c r="K427" s="17" t="str">
        <f t="shared" si="6"/>
        <v>May</v>
      </c>
    </row>
    <row r="428" spans="1:11" x14ac:dyDescent="0.25">
      <c r="A428" s="16" t="s">
        <v>12</v>
      </c>
      <c r="B428" s="1" t="s">
        <v>109</v>
      </c>
      <c r="C428" s="1">
        <v>1563</v>
      </c>
      <c r="D428" s="1" t="s">
        <v>342</v>
      </c>
      <c r="E428" s="1" t="s">
        <v>346</v>
      </c>
      <c r="F428" s="1" t="s">
        <v>347</v>
      </c>
      <c r="G428" s="1">
        <v>46</v>
      </c>
      <c r="H428" s="1">
        <v>5</v>
      </c>
      <c r="I428" s="1" t="s">
        <v>353</v>
      </c>
      <c r="J428" s="1">
        <v>0</v>
      </c>
      <c r="K428" s="17" t="str">
        <f t="shared" si="6"/>
        <v>Mar</v>
      </c>
    </row>
    <row r="429" spans="1:11" x14ac:dyDescent="0.25">
      <c r="A429" s="16" t="s">
        <v>12</v>
      </c>
      <c r="B429" s="4" t="s">
        <v>41</v>
      </c>
      <c r="C429" s="1">
        <v>728</v>
      </c>
      <c r="D429" s="1" t="s">
        <v>340</v>
      </c>
      <c r="E429" s="1" t="s">
        <v>346</v>
      </c>
      <c r="F429" s="1" t="s">
        <v>349</v>
      </c>
      <c r="G429" s="1">
        <v>45</v>
      </c>
      <c r="H429" s="1">
        <v>9</v>
      </c>
      <c r="I429" s="1" t="s">
        <v>353</v>
      </c>
      <c r="J429" s="1">
        <v>5</v>
      </c>
      <c r="K429" s="17" t="str">
        <f t="shared" si="6"/>
        <v>Dec</v>
      </c>
    </row>
    <row r="430" spans="1:11" x14ac:dyDescent="0.25">
      <c r="A430" s="16" t="s">
        <v>11</v>
      </c>
      <c r="B430" s="1" t="s">
        <v>185</v>
      </c>
      <c r="C430" s="1">
        <v>1047</v>
      </c>
      <c r="D430" s="1" t="s">
        <v>342</v>
      </c>
      <c r="E430" s="1" t="s">
        <v>343</v>
      </c>
      <c r="F430" s="1" t="s">
        <v>348</v>
      </c>
      <c r="G430" s="1">
        <v>30</v>
      </c>
      <c r="H430" s="1">
        <v>4</v>
      </c>
      <c r="I430" s="1" t="s">
        <v>352</v>
      </c>
      <c r="J430" s="1">
        <v>3</v>
      </c>
      <c r="K430" s="17" t="str">
        <f t="shared" si="6"/>
        <v>Jul</v>
      </c>
    </row>
    <row r="431" spans="1:11" x14ac:dyDescent="0.25">
      <c r="A431" s="16" t="s">
        <v>12</v>
      </c>
      <c r="B431" s="4" t="s">
        <v>217</v>
      </c>
      <c r="C431" s="1">
        <v>1419</v>
      </c>
      <c r="D431" s="1" t="s">
        <v>340</v>
      </c>
      <c r="E431" s="1" t="s">
        <v>345</v>
      </c>
      <c r="F431" s="1" t="s">
        <v>349</v>
      </c>
      <c r="G431" s="1">
        <v>15</v>
      </c>
      <c r="H431" s="1">
        <v>8</v>
      </c>
      <c r="I431" s="1" t="s">
        <v>353</v>
      </c>
      <c r="J431" s="1">
        <v>1</v>
      </c>
      <c r="K431" s="17" t="str">
        <f t="shared" si="6"/>
        <v>Jan</v>
      </c>
    </row>
    <row r="432" spans="1:11" x14ac:dyDescent="0.25">
      <c r="A432" s="16" t="s">
        <v>11</v>
      </c>
      <c r="B432" s="4" t="s">
        <v>270</v>
      </c>
      <c r="C432" s="1">
        <v>1746</v>
      </c>
      <c r="D432" s="1" t="s">
        <v>342</v>
      </c>
      <c r="E432" s="1" t="s">
        <v>344</v>
      </c>
      <c r="F432" s="1" t="s">
        <v>349</v>
      </c>
      <c r="G432" s="1">
        <v>49</v>
      </c>
      <c r="H432" s="1">
        <v>4</v>
      </c>
      <c r="I432" s="1" t="s">
        <v>352</v>
      </c>
      <c r="J432" s="1">
        <v>5</v>
      </c>
      <c r="K432" s="17" t="str">
        <f t="shared" si="6"/>
        <v>May</v>
      </c>
    </row>
    <row r="433" spans="1:11" x14ac:dyDescent="0.25">
      <c r="A433" s="16" t="s">
        <v>12</v>
      </c>
      <c r="B433" s="1" t="s">
        <v>71</v>
      </c>
      <c r="C433" s="1">
        <v>505</v>
      </c>
      <c r="D433" s="1" t="s">
        <v>340</v>
      </c>
      <c r="E433" s="1" t="s">
        <v>345</v>
      </c>
      <c r="F433" s="1" t="s">
        <v>350</v>
      </c>
      <c r="G433" s="1">
        <v>31</v>
      </c>
      <c r="H433" s="1">
        <v>1</v>
      </c>
      <c r="I433" s="1" t="s">
        <v>352</v>
      </c>
      <c r="J433" s="1">
        <v>1</v>
      </c>
      <c r="K433" s="17" t="str">
        <f t="shared" si="6"/>
        <v>Jan</v>
      </c>
    </row>
    <row r="434" spans="1:11" x14ac:dyDescent="0.25">
      <c r="A434" s="16" t="s">
        <v>13</v>
      </c>
      <c r="B434" s="1" t="s">
        <v>271</v>
      </c>
      <c r="C434" s="1">
        <v>1845</v>
      </c>
      <c r="D434" s="1" t="s">
        <v>341</v>
      </c>
      <c r="E434" s="1" t="s">
        <v>343</v>
      </c>
      <c r="F434" s="1" t="s">
        <v>348</v>
      </c>
      <c r="G434" s="1">
        <v>21</v>
      </c>
      <c r="H434" s="1">
        <v>9</v>
      </c>
      <c r="I434" s="1" t="s">
        <v>351</v>
      </c>
      <c r="J434" s="1">
        <v>4</v>
      </c>
      <c r="K434" s="17" t="str">
        <f t="shared" si="6"/>
        <v>May</v>
      </c>
    </row>
    <row r="435" spans="1:11" x14ac:dyDescent="0.25">
      <c r="A435" s="16" t="s">
        <v>12</v>
      </c>
      <c r="B435" s="1" t="s">
        <v>152</v>
      </c>
      <c r="C435" s="1">
        <v>967</v>
      </c>
      <c r="D435" s="1" t="s">
        <v>342</v>
      </c>
      <c r="E435" s="1" t="s">
        <v>345</v>
      </c>
      <c r="F435" s="1" t="s">
        <v>348</v>
      </c>
      <c r="G435" s="1">
        <v>28</v>
      </c>
      <c r="H435" s="1">
        <v>3</v>
      </c>
      <c r="I435" s="1" t="s">
        <v>354</v>
      </c>
      <c r="J435" s="1">
        <v>5</v>
      </c>
      <c r="K435" s="17" t="str">
        <f t="shared" si="6"/>
        <v>Mar</v>
      </c>
    </row>
    <row r="436" spans="1:11" x14ac:dyDescent="0.25">
      <c r="A436" s="16" t="s">
        <v>11</v>
      </c>
      <c r="B436" s="4" t="s">
        <v>54</v>
      </c>
      <c r="C436" s="1">
        <v>574</v>
      </c>
      <c r="D436" s="1" t="s">
        <v>342</v>
      </c>
      <c r="E436" s="1" t="s">
        <v>346</v>
      </c>
      <c r="F436" s="1" t="s">
        <v>349</v>
      </c>
      <c r="G436" s="1">
        <v>21</v>
      </c>
      <c r="H436" s="1">
        <v>8</v>
      </c>
      <c r="I436" s="1" t="s">
        <v>352</v>
      </c>
      <c r="J436" s="1">
        <v>3</v>
      </c>
      <c r="K436" s="17" t="str">
        <f t="shared" si="6"/>
        <v>May</v>
      </c>
    </row>
    <row r="437" spans="1:11" x14ac:dyDescent="0.25">
      <c r="A437" s="16" t="s">
        <v>11</v>
      </c>
      <c r="B437" s="1" t="s">
        <v>244</v>
      </c>
      <c r="C437" s="1">
        <v>503</v>
      </c>
      <c r="D437" s="1" t="s">
        <v>342</v>
      </c>
      <c r="E437" s="1" t="s">
        <v>344</v>
      </c>
      <c r="F437" s="1" t="s">
        <v>350</v>
      </c>
      <c r="G437" s="1">
        <v>42</v>
      </c>
      <c r="H437" s="1">
        <v>0</v>
      </c>
      <c r="I437" s="1" t="s">
        <v>351</v>
      </c>
      <c r="J437" s="1">
        <v>5</v>
      </c>
      <c r="K437" s="17" t="str">
        <f t="shared" si="6"/>
        <v>Sep</v>
      </c>
    </row>
    <row r="438" spans="1:11" x14ac:dyDescent="0.25">
      <c r="A438" s="16" t="s">
        <v>11</v>
      </c>
      <c r="B438" s="1" t="s">
        <v>134</v>
      </c>
      <c r="C438" s="1">
        <v>1145</v>
      </c>
      <c r="D438" s="1" t="s">
        <v>342</v>
      </c>
      <c r="E438" s="1" t="s">
        <v>343</v>
      </c>
      <c r="F438" s="1" t="s">
        <v>348</v>
      </c>
      <c r="G438" s="1">
        <v>2</v>
      </c>
      <c r="H438" s="1">
        <v>10</v>
      </c>
      <c r="I438" s="1" t="s">
        <v>354</v>
      </c>
      <c r="J438" s="1">
        <v>4</v>
      </c>
      <c r="K438" s="17" t="str">
        <f t="shared" si="6"/>
        <v>Jan</v>
      </c>
    </row>
    <row r="439" spans="1:11" x14ac:dyDescent="0.25">
      <c r="A439" s="16" t="s">
        <v>11</v>
      </c>
      <c r="B439" s="1" t="s">
        <v>265</v>
      </c>
      <c r="C439" s="1">
        <v>617</v>
      </c>
      <c r="D439" s="1" t="s">
        <v>341</v>
      </c>
      <c r="E439" s="1" t="s">
        <v>343</v>
      </c>
      <c r="F439" s="1" t="s">
        <v>347</v>
      </c>
      <c r="G439" s="1">
        <v>9</v>
      </c>
      <c r="H439" s="1">
        <v>0</v>
      </c>
      <c r="I439" s="1" t="s">
        <v>353</v>
      </c>
      <c r="J439" s="1">
        <v>2</v>
      </c>
      <c r="K439" s="17" t="str">
        <f t="shared" si="6"/>
        <v>Dec</v>
      </c>
    </row>
    <row r="440" spans="1:11" x14ac:dyDescent="0.25">
      <c r="A440" s="16" t="s">
        <v>11</v>
      </c>
      <c r="B440" s="4" t="s">
        <v>272</v>
      </c>
      <c r="C440" s="1">
        <v>1380</v>
      </c>
      <c r="D440" s="1" t="s">
        <v>342</v>
      </c>
      <c r="E440" s="1" t="s">
        <v>343</v>
      </c>
      <c r="F440" s="1" t="s">
        <v>349</v>
      </c>
      <c r="G440" s="1">
        <v>41</v>
      </c>
      <c r="H440" s="1">
        <v>6</v>
      </c>
      <c r="I440" s="1" t="s">
        <v>354</v>
      </c>
      <c r="J440" s="1">
        <v>1</v>
      </c>
      <c r="K440" s="17" t="str">
        <f t="shared" si="6"/>
        <v>Jul</v>
      </c>
    </row>
    <row r="441" spans="1:11" x14ac:dyDescent="0.25">
      <c r="A441" s="16" t="s">
        <v>10</v>
      </c>
      <c r="B441" s="1" t="s">
        <v>191</v>
      </c>
      <c r="C441" s="1">
        <v>1003</v>
      </c>
      <c r="D441" s="1" t="s">
        <v>341</v>
      </c>
      <c r="E441" s="1" t="s">
        <v>344</v>
      </c>
      <c r="F441" s="1" t="s">
        <v>348</v>
      </c>
      <c r="G441" s="1">
        <v>20</v>
      </c>
      <c r="H441" s="1">
        <v>10</v>
      </c>
      <c r="I441" s="1" t="s">
        <v>352</v>
      </c>
      <c r="J441" s="1">
        <v>4</v>
      </c>
      <c r="K441" s="17" t="str">
        <f t="shared" si="6"/>
        <v>Aug</v>
      </c>
    </row>
    <row r="442" spans="1:11" x14ac:dyDescent="0.25">
      <c r="A442" s="16" t="s">
        <v>10</v>
      </c>
      <c r="B442" s="1" t="s">
        <v>131</v>
      </c>
      <c r="C442" s="1">
        <v>1446</v>
      </c>
      <c r="D442" s="1" t="s">
        <v>341</v>
      </c>
      <c r="E442" s="1" t="s">
        <v>346</v>
      </c>
      <c r="F442" s="1" t="s">
        <v>347</v>
      </c>
      <c r="G442" s="1">
        <v>15</v>
      </c>
      <c r="H442" s="1">
        <v>2</v>
      </c>
      <c r="I442" s="1" t="s">
        <v>352</v>
      </c>
      <c r="J442" s="1">
        <v>2</v>
      </c>
      <c r="K442" s="17" t="str">
        <f t="shared" si="6"/>
        <v>Dec</v>
      </c>
    </row>
    <row r="443" spans="1:11" x14ac:dyDescent="0.25">
      <c r="A443" s="16" t="s">
        <v>12</v>
      </c>
      <c r="B443" s="1" t="s">
        <v>272</v>
      </c>
      <c r="C443" s="1">
        <v>1073</v>
      </c>
      <c r="D443" s="1" t="s">
        <v>341</v>
      </c>
      <c r="E443" s="1" t="s">
        <v>343</v>
      </c>
      <c r="F443" s="1" t="s">
        <v>348</v>
      </c>
      <c r="G443" s="1">
        <v>11</v>
      </c>
      <c r="H443" s="1">
        <v>9</v>
      </c>
      <c r="I443" s="1" t="s">
        <v>352</v>
      </c>
      <c r="J443" s="1">
        <v>5</v>
      </c>
      <c r="K443" s="17" t="str">
        <f t="shared" si="6"/>
        <v>Jul</v>
      </c>
    </row>
    <row r="444" spans="1:11" x14ac:dyDescent="0.25">
      <c r="A444" s="16" t="s">
        <v>11</v>
      </c>
      <c r="B444" s="1" t="s">
        <v>273</v>
      </c>
      <c r="C444" s="1">
        <v>1964</v>
      </c>
      <c r="D444" s="1" t="s">
        <v>341</v>
      </c>
      <c r="E444" s="1" t="s">
        <v>345</v>
      </c>
      <c r="F444" s="1" t="s">
        <v>347</v>
      </c>
      <c r="G444" s="1">
        <v>1</v>
      </c>
      <c r="H444" s="1">
        <v>1</v>
      </c>
      <c r="I444" s="1" t="s">
        <v>352</v>
      </c>
      <c r="J444" s="1">
        <v>5</v>
      </c>
      <c r="K444" s="17" t="str">
        <f t="shared" si="6"/>
        <v>Feb</v>
      </c>
    </row>
    <row r="445" spans="1:11" x14ac:dyDescent="0.25">
      <c r="A445" s="16" t="s">
        <v>12</v>
      </c>
      <c r="B445" s="4" t="s">
        <v>110</v>
      </c>
      <c r="C445" s="1">
        <v>693</v>
      </c>
      <c r="D445" s="1" t="s">
        <v>340</v>
      </c>
      <c r="E445" s="1" t="s">
        <v>343</v>
      </c>
      <c r="F445" s="1" t="s">
        <v>349</v>
      </c>
      <c r="G445" s="1">
        <v>40</v>
      </c>
      <c r="H445" s="1">
        <v>8</v>
      </c>
      <c r="I445" s="1" t="s">
        <v>352</v>
      </c>
      <c r="J445" s="1">
        <v>4</v>
      </c>
      <c r="K445" s="17" t="str">
        <f t="shared" si="6"/>
        <v>Dec</v>
      </c>
    </row>
    <row r="446" spans="1:11" x14ac:dyDescent="0.25">
      <c r="A446" s="16" t="s">
        <v>11</v>
      </c>
      <c r="B446" s="1" t="s">
        <v>261</v>
      </c>
      <c r="C446" s="1">
        <v>1346</v>
      </c>
      <c r="D446" s="1" t="s">
        <v>340</v>
      </c>
      <c r="E446" s="1" t="s">
        <v>343</v>
      </c>
      <c r="F446" s="1" t="s">
        <v>348</v>
      </c>
      <c r="G446" s="1">
        <v>23</v>
      </c>
      <c r="H446" s="1">
        <v>2</v>
      </c>
      <c r="I446" s="1" t="s">
        <v>351</v>
      </c>
      <c r="J446" s="1">
        <v>3</v>
      </c>
      <c r="K446" s="17" t="str">
        <f t="shared" si="6"/>
        <v>Aug</v>
      </c>
    </row>
    <row r="447" spans="1:11" x14ac:dyDescent="0.25">
      <c r="A447" s="16" t="s">
        <v>11</v>
      </c>
      <c r="B447" s="1" t="s">
        <v>274</v>
      </c>
      <c r="C447" s="1">
        <v>1214</v>
      </c>
      <c r="D447" s="1" t="s">
        <v>342</v>
      </c>
      <c r="E447" s="1" t="s">
        <v>343</v>
      </c>
      <c r="F447" s="1" t="s">
        <v>348</v>
      </c>
      <c r="G447" s="1">
        <v>34</v>
      </c>
      <c r="H447" s="1">
        <v>1</v>
      </c>
      <c r="I447" s="1" t="s">
        <v>352</v>
      </c>
      <c r="J447" s="1">
        <v>5</v>
      </c>
      <c r="K447" s="17" t="str">
        <f t="shared" si="6"/>
        <v>Nov</v>
      </c>
    </row>
    <row r="448" spans="1:11" x14ac:dyDescent="0.25">
      <c r="A448" s="16" t="s">
        <v>10</v>
      </c>
      <c r="B448" s="1" t="s">
        <v>111</v>
      </c>
      <c r="C448" s="1">
        <v>1915</v>
      </c>
      <c r="D448" s="1" t="s">
        <v>340</v>
      </c>
      <c r="E448" s="1" t="s">
        <v>343</v>
      </c>
      <c r="F448" s="1" t="s">
        <v>350</v>
      </c>
      <c r="G448" s="1">
        <v>29</v>
      </c>
      <c r="H448" s="1">
        <v>7</v>
      </c>
      <c r="I448" s="1" t="s">
        <v>351</v>
      </c>
      <c r="J448" s="1">
        <v>3</v>
      </c>
      <c r="K448" s="17" t="str">
        <f t="shared" si="6"/>
        <v>Oct</v>
      </c>
    </row>
    <row r="449" spans="1:11" x14ac:dyDescent="0.25">
      <c r="A449" s="16" t="s">
        <v>10</v>
      </c>
      <c r="B449" s="4" t="s">
        <v>275</v>
      </c>
      <c r="C449" s="1">
        <v>1549</v>
      </c>
      <c r="D449" s="1" t="s">
        <v>340</v>
      </c>
      <c r="E449" s="1" t="s">
        <v>346</v>
      </c>
      <c r="F449" s="1" t="s">
        <v>349</v>
      </c>
      <c r="G449" s="1">
        <v>29</v>
      </c>
      <c r="H449" s="1">
        <v>9</v>
      </c>
      <c r="I449" s="1" t="s">
        <v>353</v>
      </c>
      <c r="J449" s="1">
        <v>3</v>
      </c>
      <c r="K449" s="17" t="str">
        <f t="shared" si="6"/>
        <v>Jun</v>
      </c>
    </row>
    <row r="450" spans="1:11" x14ac:dyDescent="0.25">
      <c r="A450" s="16" t="s">
        <v>13</v>
      </c>
      <c r="B450" s="1" t="s">
        <v>252</v>
      </c>
      <c r="C450" s="1">
        <v>1958</v>
      </c>
      <c r="D450" s="1" t="s">
        <v>342</v>
      </c>
      <c r="E450" s="1" t="s">
        <v>345</v>
      </c>
      <c r="F450" s="1" t="s">
        <v>347</v>
      </c>
      <c r="G450" s="1">
        <v>46</v>
      </c>
      <c r="H450" s="1">
        <v>5</v>
      </c>
      <c r="I450" s="1" t="s">
        <v>352</v>
      </c>
      <c r="J450" s="1">
        <v>3</v>
      </c>
      <c r="K450" s="17" t="str">
        <f t="shared" si="6"/>
        <v>Nov</v>
      </c>
    </row>
    <row r="451" spans="1:11" x14ac:dyDescent="0.25">
      <c r="A451" s="16" t="s">
        <v>10</v>
      </c>
      <c r="B451" s="1" t="s">
        <v>199</v>
      </c>
      <c r="C451" s="1">
        <v>672</v>
      </c>
      <c r="D451" s="1" t="s">
        <v>342</v>
      </c>
      <c r="E451" s="1" t="s">
        <v>346</v>
      </c>
      <c r="F451" s="1" t="s">
        <v>348</v>
      </c>
      <c r="G451" s="1">
        <v>34</v>
      </c>
      <c r="H451" s="1">
        <v>5</v>
      </c>
      <c r="I451" s="1" t="s">
        <v>352</v>
      </c>
      <c r="J451" s="1">
        <v>0</v>
      </c>
      <c r="K451" s="17" t="str">
        <f t="shared" si="6"/>
        <v>Mar</v>
      </c>
    </row>
    <row r="452" spans="1:11" x14ac:dyDescent="0.25">
      <c r="A452" s="16" t="s">
        <v>13</v>
      </c>
      <c r="B452" s="1" t="s">
        <v>276</v>
      </c>
      <c r="C452" s="1">
        <v>1823</v>
      </c>
      <c r="D452" s="1" t="s">
        <v>342</v>
      </c>
      <c r="E452" s="1" t="s">
        <v>345</v>
      </c>
      <c r="F452" s="1" t="s">
        <v>348</v>
      </c>
      <c r="G452" s="1">
        <v>18</v>
      </c>
      <c r="H452" s="1">
        <v>9</v>
      </c>
      <c r="I452" s="1" t="s">
        <v>354</v>
      </c>
      <c r="J452" s="1">
        <v>2</v>
      </c>
      <c r="K452" s="17" t="str">
        <f t="shared" ref="K452:K515" si="7">TEXT(B452,"mmm")</f>
        <v>Mar</v>
      </c>
    </row>
    <row r="453" spans="1:11" x14ac:dyDescent="0.25">
      <c r="A453" s="16" t="s">
        <v>13</v>
      </c>
      <c r="B453" s="1" t="s">
        <v>162</v>
      </c>
      <c r="C453" s="1">
        <v>825</v>
      </c>
      <c r="D453" s="1" t="s">
        <v>340</v>
      </c>
      <c r="E453" s="1" t="s">
        <v>343</v>
      </c>
      <c r="F453" s="1" t="s">
        <v>347</v>
      </c>
      <c r="G453" s="1">
        <v>49</v>
      </c>
      <c r="H453" s="1">
        <v>10</v>
      </c>
      <c r="I453" s="1" t="s">
        <v>353</v>
      </c>
      <c r="J453" s="1">
        <v>2</v>
      </c>
      <c r="K453" s="17" t="str">
        <f t="shared" si="7"/>
        <v>Feb</v>
      </c>
    </row>
    <row r="454" spans="1:11" x14ac:dyDescent="0.25">
      <c r="A454" s="16" t="s">
        <v>13</v>
      </c>
      <c r="B454" s="4" t="s">
        <v>277</v>
      </c>
      <c r="C454" s="1">
        <v>1933</v>
      </c>
      <c r="D454" s="1" t="s">
        <v>340</v>
      </c>
      <c r="E454" s="1" t="s">
        <v>344</v>
      </c>
      <c r="F454" s="1" t="s">
        <v>349</v>
      </c>
      <c r="G454" s="1">
        <v>7</v>
      </c>
      <c r="H454" s="1">
        <v>6</v>
      </c>
      <c r="I454" s="1" t="s">
        <v>352</v>
      </c>
      <c r="J454" s="1">
        <v>5</v>
      </c>
      <c r="K454" s="17" t="str">
        <f t="shared" si="7"/>
        <v>Oct</v>
      </c>
    </row>
    <row r="455" spans="1:11" x14ac:dyDescent="0.25">
      <c r="A455" s="16" t="s">
        <v>13</v>
      </c>
      <c r="B455" s="1" t="s">
        <v>89</v>
      </c>
      <c r="C455" s="1">
        <v>1641</v>
      </c>
      <c r="D455" s="1" t="s">
        <v>342</v>
      </c>
      <c r="E455" s="1" t="s">
        <v>346</v>
      </c>
      <c r="F455" s="1" t="s">
        <v>350</v>
      </c>
      <c r="G455" s="1">
        <v>25</v>
      </c>
      <c r="H455" s="1">
        <v>6</v>
      </c>
      <c r="I455" s="1" t="s">
        <v>352</v>
      </c>
      <c r="J455" s="1">
        <v>5</v>
      </c>
      <c r="K455" s="17" t="str">
        <f t="shared" si="7"/>
        <v>Oct</v>
      </c>
    </row>
    <row r="456" spans="1:11" x14ac:dyDescent="0.25">
      <c r="A456" s="16" t="s">
        <v>13</v>
      </c>
      <c r="B456" s="1" t="s">
        <v>33</v>
      </c>
      <c r="C456" s="1">
        <v>1335</v>
      </c>
      <c r="D456" s="1" t="s">
        <v>341</v>
      </c>
      <c r="E456" s="1" t="s">
        <v>344</v>
      </c>
      <c r="F456" s="1" t="s">
        <v>350</v>
      </c>
      <c r="G456" s="1">
        <v>48</v>
      </c>
      <c r="H456" s="1">
        <v>10</v>
      </c>
      <c r="I456" s="1" t="s">
        <v>353</v>
      </c>
      <c r="J456" s="1">
        <v>3</v>
      </c>
      <c r="K456" s="17" t="str">
        <f t="shared" si="7"/>
        <v>Dec</v>
      </c>
    </row>
    <row r="457" spans="1:11" x14ac:dyDescent="0.25">
      <c r="A457" s="16" t="s">
        <v>12</v>
      </c>
      <c r="B457" s="1" t="s">
        <v>94</v>
      </c>
      <c r="C457" s="1">
        <v>1223</v>
      </c>
      <c r="D457" s="1" t="s">
        <v>342</v>
      </c>
      <c r="E457" s="1" t="s">
        <v>346</v>
      </c>
      <c r="F457" s="1" t="s">
        <v>348</v>
      </c>
      <c r="G457" s="1">
        <v>39</v>
      </c>
      <c r="H457" s="1">
        <v>5</v>
      </c>
      <c r="I457" s="1" t="s">
        <v>351</v>
      </c>
      <c r="J457" s="1">
        <v>0</v>
      </c>
      <c r="K457" s="17" t="str">
        <f t="shared" si="7"/>
        <v>Nov</v>
      </c>
    </row>
    <row r="458" spans="1:11" x14ac:dyDescent="0.25">
      <c r="A458" s="16" t="s">
        <v>10</v>
      </c>
      <c r="B458" s="1" t="s">
        <v>278</v>
      </c>
      <c r="C458" s="1">
        <v>724</v>
      </c>
      <c r="D458" s="1" t="s">
        <v>341</v>
      </c>
      <c r="E458" s="1" t="s">
        <v>343</v>
      </c>
      <c r="F458" s="1" t="s">
        <v>347</v>
      </c>
      <c r="G458" s="1">
        <v>6</v>
      </c>
      <c r="H458" s="1">
        <v>3</v>
      </c>
      <c r="I458" s="1" t="s">
        <v>352</v>
      </c>
      <c r="J458" s="1">
        <v>3</v>
      </c>
      <c r="K458" s="17" t="str">
        <f t="shared" si="7"/>
        <v>Nov</v>
      </c>
    </row>
    <row r="459" spans="1:11" x14ac:dyDescent="0.25">
      <c r="A459" s="16" t="s">
        <v>13</v>
      </c>
      <c r="B459" s="1" t="s">
        <v>276</v>
      </c>
      <c r="C459" s="1">
        <v>1031</v>
      </c>
      <c r="D459" s="1" t="s">
        <v>341</v>
      </c>
      <c r="E459" s="1" t="s">
        <v>346</v>
      </c>
      <c r="F459" s="1" t="s">
        <v>348</v>
      </c>
      <c r="G459" s="1">
        <v>29</v>
      </c>
      <c r="H459" s="1">
        <v>10</v>
      </c>
      <c r="I459" s="1" t="s">
        <v>354</v>
      </c>
      <c r="J459" s="1">
        <v>0</v>
      </c>
      <c r="K459" s="17" t="str">
        <f t="shared" si="7"/>
        <v>Mar</v>
      </c>
    </row>
    <row r="460" spans="1:11" x14ac:dyDescent="0.25">
      <c r="A460" s="16" t="s">
        <v>11</v>
      </c>
      <c r="B460" s="1" t="s">
        <v>63</v>
      </c>
      <c r="C460" s="1">
        <v>612</v>
      </c>
      <c r="D460" s="1" t="s">
        <v>342</v>
      </c>
      <c r="E460" s="1" t="s">
        <v>343</v>
      </c>
      <c r="F460" s="1" t="s">
        <v>347</v>
      </c>
      <c r="G460" s="1">
        <v>6</v>
      </c>
      <c r="H460" s="1">
        <v>8</v>
      </c>
      <c r="I460" s="1" t="s">
        <v>352</v>
      </c>
      <c r="J460" s="1">
        <v>3</v>
      </c>
      <c r="K460" s="17" t="str">
        <f t="shared" si="7"/>
        <v>Jan</v>
      </c>
    </row>
    <row r="461" spans="1:11" x14ac:dyDescent="0.25">
      <c r="A461" s="16" t="s">
        <v>10</v>
      </c>
      <c r="B461" s="1" t="s">
        <v>279</v>
      </c>
      <c r="C461" s="1">
        <v>639</v>
      </c>
      <c r="D461" s="1" t="s">
        <v>342</v>
      </c>
      <c r="E461" s="1" t="s">
        <v>346</v>
      </c>
      <c r="F461" s="1" t="s">
        <v>350</v>
      </c>
      <c r="G461" s="1">
        <v>2</v>
      </c>
      <c r="H461" s="1">
        <v>5</v>
      </c>
      <c r="I461" s="1" t="s">
        <v>354</v>
      </c>
      <c r="J461" s="1">
        <v>1</v>
      </c>
      <c r="K461" s="17" t="str">
        <f t="shared" si="7"/>
        <v>Jul</v>
      </c>
    </row>
    <row r="462" spans="1:11" x14ac:dyDescent="0.25">
      <c r="A462" s="16" t="s">
        <v>10</v>
      </c>
      <c r="B462" s="4" t="s">
        <v>173</v>
      </c>
      <c r="C462" s="1">
        <v>1058</v>
      </c>
      <c r="D462" s="1" t="s">
        <v>342</v>
      </c>
      <c r="E462" s="1" t="s">
        <v>343</v>
      </c>
      <c r="F462" s="1" t="s">
        <v>349</v>
      </c>
      <c r="G462" s="1">
        <v>0</v>
      </c>
      <c r="H462" s="1">
        <v>3</v>
      </c>
      <c r="I462" s="1" t="s">
        <v>354</v>
      </c>
      <c r="J462" s="1">
        <v>1</v>
      </c>
      <c r="K462" s="17" t="str">
        <f t="shared" si="7"/>
        <v>Jan</v>
      </c>
    </row>
    <row r="463" spans="1:11" x14ac:dyDescent="0.25">
      <c r="A463" s="16" t="s">
        <v>13</v>
      </c>
      <c r="B463" s="1" t="s">
        <v>78</v>
      </c>
      <c r="C463" s="1">
        <v>500</v>
      </c>
      <c r="D463" s="1" t="s">
        <v>340</v>
      </c>
      <c r="E463" s="1" t="s">
        <v>343</v>
      </c>
      <c r="F463" s="1" t="s">
        <v>347</v>
      </c>
      <c r="G463" s="1">
        <v>35</v>
      </c>
      <c r="H463" s="1">
        <v>2</v>
      </c>
      <c r="I463" s="1" t="s">
        <v>352</v>
      </c>
      <c r="J463" s="1">
        <v>4</v>
      </c>
      <c r="K463" s="17" t="str">
        <f t="shared" si="7"/>
        <v>Jan</v>
      </c>
    </row>
    <row r="464" spans="1:11" x14ac:dyDescent="0.25">
      <c r="A464" s="16" t="s">
        <v>12</v>
      </c>
      <c r="B464" s="1" t="s">
        <v>252</v>
      </c>
      <c r="C464" s="1">
        <v>589</v>
      </c>
      <c r="D464" s="1" t="s">
        <v>341</v>
      </c>
      <c r="E464" s="1" t="s">
        <v>345</v>
      </c>
      <c r="F464" s="1" t="s">
        <v>350</v>
      </c>
      <c r="G464" s="1">
        <v>24</v>
      </c>
      <c r="H464" s="1">
        <v>3</v>
      </c>
      <c r="I464" s="1" t="s">
        <v>352</v>
      </c>
      <c r="J464" s="1">
        <v>3</v>
      </c>
      <c r="K464" s="17" t="str">
        <f t="shared" si="7"/>
        <v>Nov</v>
      </c>
    </row>
    <row r="465" spans="1:11" x14ac:dyDescent="0.25">
      <c r="A465" s="16" t="s">
        <v>13</v>
      </c>
      <c r="B465" s="1" t="s">
        <v>280</v>
      </c>
      <c r="C465" s="1">
        <v>1153</v>
      </c>
      <c r="D465" s="1" t="s">
        <v>340</v>
      </c>
      <c r="E465" s="1" t="s">
        <v>343</v>
      </c>
      <c r="F465" s="1" t="s">
        <v>348</v>
      </c>
      <c r="G465" s="1">
        <v>36</v>
      </c>
      <c r="H465" s="1">
        <v>2</v>
      </c>
      <c r="I465" s="1" t="s">
        <v>354</v>
      </c>
      <c r="J465" s="1">
        <v>5</v>
      </c>
      <c r="K465" s="17" t="str">
        <f t="shared" si="7"/>
        <v>Nov</v>
      </c>
    </row>
    <row r="466" spans="1:11" x14ac:dyDescent="0.25">
      <c r="A466" s="16" t="s">
        <v>12</v>
      </c>
      <c r="B466" s="1" t="s">
        <v>200</v>
      </c>
      <c r="C466" s="1">
        <v>819</v>
      </c>
      <c r="D466" s="1" t="s">
        <v>340</v>
      </c>
      <c r="E466" s="1" t="s">
        <v>345</v>
      </c>
      <c r="F466" s="1" t="s">
        <v>347</v>
      </c>
      <c r="G466" s="1">
        <v>0</v>
      </c>
      <c r="H466" s="1">
        <v>1</v>
      </c>
      <c r="I466" s="1" t="s">
        <v>353</v>
      </c>
      <c r="J466" s="1">
        <v>2</v>
      </c>
      <c r="K466" s="17" t="str">
        <f t="shared" si="7"/>
        <v>Nov</v>
      </c>
    </row>
    <row r="467" spans="1:11" x14ac:dyDescent="0.25">
      <c r="A467" s="16" t="s">
        <v>11</v>
      </c>
      <c r="B467" s="4" t="s">
        <v>252</v>
      </c>
      <c r="C467" s="1">
        <v>638</v>
      </c>
      <c r="D467" s="1" t="s">
        <v>342</v>
      </c>
      <c r="E467" s="1" t="s">
        <v>343</v>
      </c>
      <c r="F467" s="1" t="s">
        <v>349</v>
      </c>
      <c r="G467" s="1">
        <v>14</v>
      </c>
      <c r="H467" s="1">
        <v>4</v>
      </c>
      <c r="I467" s="1" t="s">
        <v>353</v>
      </c>
      <c r="J467" s="1">
        <v>4</v>
      </c>
      <c r="K467" s="17" t="str">
        <f t="shared" si="7"/>
        <v>Nov</v>
      </c>
    </row>
    <row r="468" spans="1:11" x14ac:dyDescent="0.25">
      <c r="A468" s="16" t="s">
        <v>10</v>
      </c>
      <c r="B468" s="1" t="s">
        <v>281</v>
      </c>
      <c r="C468" s="1">
        <v>1344</v>
      </c>
      <c r="D468" s="1" t="s">
        <v>340</v>
      </c>
      <c r="E468" s="1" t="s">
        <v>344</v>
      </c>
      <c r="F468" s="1" t="s">
        <v>348</v>
      </c>
      <c r="G468" s="1">
        <v>36</v>
      </c>
      <c r="H468" s="1">
        <v>1</v>
      </c>
      <c r="I468" s="1" t="s">
        <v>352</v>
      </c>
      <c r="J468" s="1">
        <v>5</v>
      </c>
      <c r="K468" s="17" t="str">
        <f t="shared" si="7"/>
        <v>Jan</v>
      </c>
    </row>
    <row r="469" spans="1:11" x14ac:dyDescent="0.25">
      <c r="A469" s="16" t="s">
        <v>11</v>
      </c>
      <c r="B469" s="1" t="s">
        <v>163</v>
      </c>
      <c r="C469" s="1">
        <v>758</v>
      </c>
      <c r="D469" s="1" t="s">
        <v>342</v>
      </c>
      <c r="E469" s="1" t="s">
        <v>343</v>
      </c>
      <c r="F469" s="1" t="s">
        <v>348</v>
      </c>
      <c r="G469" s="1">
        <v>12</v>
      </c>
      <c r="H469" s="1">
        <v>5</v>
      </c>
      <c r="I469" s="1" t="s">
        <v>351</v>
      </c>
      <c r="J469" s="1">
        <v>1</v>
      </c>
      <c r="K469" s="17" t="str">
        <f t="shared" si="7"/>
        <v>Dec</v>
      </c>
    </row>
    <row r="470" spans="1:11" x14ac:dyDescent="0.25">
      <c r="A470" s="16" t="s">
        <v>12</v>
      </c>
      <c r="B470" s="1" t="s">
        <v>192</v>
      </c>
      <c r="C470" s="1">
        <v>1401</v>
      </c>
      <c r="D470" s="1" t="s">
        <v>341</v>
      </c>
      <c r="E470" s="1" t="s">
        <v>344</v>
      </c>
      <c r="F470" s="1" t="s">
        <v>350</v>
      </c>
      <c r="G470" s="1">
        <v>39</v>
      </c>
      <c r="H470" s="1">
        <v>2</v>
      </c>
      <c r="I470" s="1" t="s">
        <v>353</v>
      </c>
      <c r="J470" s="1">
        <v>3</v>
      </c>
      <c r="K470" s="17" t="str">
        <f t="shared" si="7"/>
        <v>Nov</v>
      </c>
    </row>
    <row r="471" spans="1:11" x14ac:dyDescent="0.25">
      <c r="A471" s="16" t="s">
        <v>12</v>
      </c>
      <c r="B471" s="1" t="s">
        <v>282</v>
      </c>
      <c r="C471" s="1">
        <v>1189</v>
      </c>
      <c r="D471" s="1" t="s">
        <v>342</v>
      </c>
      <c r="E471" s="1" t="s">
        <v>344</v>
      </c>
      <c r="F471" s="1" t="s">
        <v>347</v>
      </c>
      <c r="G471" s="1">
        <v>7</v>
      </c>
      <c r="H471" s="1">
        <v>5</v>
      </c>
      <c r="I471" s="1" t="s">
        <v>352</v>
      </c>
      <c r="J471" s="1">
        <v>4</v>
      </c>
      <c r="K471" s="17" t="str">
        <f t="shared" si="7"/>
        <v>Apr</v>
      </c>
    </row>
    <row r="472" spans="1:11" x14ac:dyDescent="0.25">
      <c r="A472" s="16" t="s">
        <v>11</v>
      </c>
      <c r="B472" s="1" t="s">
        <v>256</v>
      </c>
      <c r="C472" s="1">
        <v>509</v>
      </c>
      <c r="D472" s="1" t="s">
        <v>340</v>
      </c>
      <c r="E472" s="1" t="s">
        <v>343</v>
      </c>
      <c r="F472" s="1" t="s">
        <v>348</v>
      </c>
      <c r="G472" s="1">
        <v>4</v>
      </c>
      <c r="H472" s="1">
        <v>10</v>
      </c>
      <c r="I472" s="1" t="s">
        <v>353</v>
      </c>
      <c r="J472" s="1">
        <v>3</v>
      </c>
      <c r="K472" s="17" t="str">
        <f t="shared" si="7"/>
        <v>Apr</v>
      </c>
    </row>
    <row r="473" spans="1:11" x14ac:dyDescent="0.25">
      <c r="A473" s="16" t="s">
        <v>12</v>
      </c>
      <c r="B473" s="4" t="s">
        <v>167</v>
      </c>
      <c r="C473" s="1">
        <v>760</v>
      </c>
      <c r="D473" s="1" t="s">
        <v>340</v>
      </c>
      <c r="E473" s="1" t="s">
        <v>344</v>
      </c>
      <c r="F473" s="1" t="s">
        <v>349</v>
      </c>
      <c r="G473" s="1">
        <v>8</v>
      </c>
      <c r="H473" s="1">
        <v>9</v>
      </c>
      <c r="I473" s="1" t="s">
        <v>351</v>
      </c>
      <c r="J473" s="1">
        <v>1</v>
      </c>
      <c r="K473" s="17" t="str">
        <f t="shared" si="7"/>
        <v>Jul</v>
      </c>
    </row>
    <row r="474" spans="1:11" x14ac:dyDescent="0.25">
      <c r="A474" s="16" t="s">
        <v>11</v>
      </c>
      <c r="B474" s="1" t="s">
        <v>155</v>
      </c>
      <c r="C474" s="1">
        <v>671</v>
      </c>
      <c r="D474" s="1" t="s">
        <v>342</v>
      </c>
      <c r="E474" s="1" t="s">
        <v>345</v>
      </c>
      <c r="F474" s="1" t="s">
        <v>347</v>
      </c>
      <c r="G474" s="1">
        <v>0</v>
      </c>
      <c r="H474" s="1">
        <v>8</v>
      </c>
      <c r="I474" s="1" t="s">
        <v>352</v>
      </c>
      <c r="J474" s="1">
        <v>4</v>
      </c>
      <c r="K474" s="17" t="str">
        <f t="shared" si="7"/>
        <v>Mar</v>
      </c>
    </row>
    <row r="475" spans="1:11" x14ac:dyDescent="0.25">
      <c r="A475" s="16" t="s">
        <v>10</v>
      </c>
      <c r="B475" s="4" t="s">
        <v>117</v>
      </c>
      <c r="C475" s="1">
        <v>1397</v>
      </c>
      <c r="D475" s="1" t="s">
        <v>342</v>
      </c>
      <c r="E475" s="1" t="s">
        <v>346</v>
      </c>
      <c r="F475" s="1" t="s">
        <v>349</v>
      </c>
      <c r="G475" s="1">
        <v>35</v>
      </c>
      <c r="H475" s="1">
        <v>0</v>
      </c>
      <c r="I475" s="1" t="s">
        <v>351</v>
      </c>
      <c r="J475" s="1">
        <v>1</v>
      </c>
      <c r="K475" s="17" t="str">
        <f t="shared" si="7"/>
        <v>Sep</v>
      </c>
    </row>
    <row r="476" spans="1:11" x14ac:dyDescent="0.25">
      <c r="A476" s="16" t="s">
        <v>11</v>
      </c>
      <c r="B476" s="1" t="s">
        <v>181</v>
      </c>
      <c r="C476" s="1">
        <v>512</v>
      </c>
      <c r="D476" s="1" t="s">
        <v>340</v>
      </c>
      <c r="E476" s="1" t="s">
        <v>343</v>
      </c>
      <c r="F476" s="1" t="s">
        <v>348</v>
      </c>
      <c r="G476" s="1">
        <v>34</v>
      </c>
      <c r="H476" s="1">
        <v>5</v>
      </c>
      <c r="I476" s="1" t="s">
        <v>352</v>
      </c>
      <c r="J476" s="1">
        <v>0</v>
      </c>
      <c r="K476" s="17" t="str">
        <f t="shared" si="7"/>
        <v>Apr</v>
      </c>
    </row>
    <row r="477" spans="1:11" x14ac:dyDescent="0.25">
      <c r="A477" s="16" t="s">
        <v>10</v>
      </c>
      <c r="B477" s="4" t="s">
        <v>168</v>
      </c>
      <c r="C477" s="1">
        <v>1691</v>
      </c>
      <c r="D477" s="1" t="s">
        <v>341</v>
      </c>
      <c r="E477" s="1" t="s">
        <v>344</v>
      </c>
      <c r="F477" s="1" t="s">
        <v>349</v>
      </c>
      <c r="G477" s="1">
        <v>1</v>
      </c>
      <c r="H477" s="1">
        <v>8</v>
      </c>
      <c r="I477" s="1" t="s">
        <v>351</v>
      </c>
      <c r="J477" s="1">
        <v>1</v>
      </c>
      <c r="K477" s="17" t="str">
        <f t="shared" si="7"/>
        <v>Dec</v>
      </c>
    </row>
    <row r="478" spans="1:11" x14ac:dyDescent="0.25">
      <c r="A478" s="16" t="s">
        <v>11</v>
      </c>
      <c r="B478" s="1" t="s">
        <v>224</v>
      </c>
      <c r="C478" s="1">
        <v>820</v>
      </c>
      <c r="D478" s="1" t="s">
        <v>341</v>
      </c>
      <c r="E478" s="1" t="s">
        <v>343</v>
      </c>
      <c r="F478" s="1" t="s">
        <v>350</v>
      </c>
      <c r="G478" s="1">
        <v>39</v>
      </c>
      <c r="H478" s="1">
        <v>10</v>
      </c>
      <c r="I478" s="1" t="s">
        <v>353</v>
      </c>
      <c r="J478" s="1">
        <v>3</v>
      </c>
      <c r="K478" s="17" t="str">
        <f t="shared" si="7"/>
        <v>Feb</v>
      </c>
    </row>
    <row r="479" spans="1:11" x14ac:dyDescent="0.25">
      <c r="A479" s="16" t="s">
        <v>12</v>
      </c>
      <c r="B479" s="4" t="s">
        <v>279</v>
      </c>
      <c r="C479" s="1">
        <v>1842</v>
      </c>
      <c r="D479" s="1" t="s">
        <v>342</v>
      </c>
      <c r="E479" s="1" t="s">
        <v>345</v>
      </c>
      <c r="F479" s="1" t="s">
        <v>349</v>
      </c>
      <c r="G479" s="1">
        <v>22</v>
      </c>
      <c r="H479" s="1">
        <v>3</v>
      </c>
      <c r="I479" s="1" t="s">
        <v>353</v>
      </c>
      <c r="J479" s="1">
        <v>2</v>
      </c>
      <c r="K479" s="17" t="str">
        <f t="shared" si="7"/>
        <v>Jul</v>
      </c>
    </row>
    <row r="480" spans="1:11" x14ac:dyDescent="0.25">
      <c r="A480" s="16" t="s">
        <v>11</v>
      </c>
      <c r="B480" s="1" t="s">
        <v>14</v>
      </c>
      <c r="C480" s="1">
        <v>828</v>
      </c>
      <c r="D480" s="1" t="s">
        <v>341</v>
      </c>
      <c r="E480" s="1" t="s">
        <v>343</v>
      </c>
      <c r="F480" s="1" t="s">
        <v>347</v>
      </c>
      <c r="G480" s="1">
        <v>8</v>
      </c>
      <c r="H480" s="1">
        <v>10</v>
      </c>
      <c r="I480" s="1" t="s">
        <v>351</v>
      </c>
      <c r="J480" s="1">
        <v>1</v>
      </c>
      <c r="K480" s="17" t="str">
        <f t="shared" si="7"/>
        <v>Mar</v>
      </c>
    </row>
    <row r="481" spans="1:11" x14ac:dyDescent="0.25">
      <c r="A481" s="16" t="s">
        <v>12</v>
      </c>
      <c r="B481" s="4" t="s">
        <v>276</v>
      </c>
      <c r="C481" s="1">
        <v>1284</v>
      </c>
      <c r="D481" s="1" t="s">
        <v>340</v>
      </c>
      <c r="E481" s="1" t="s">
        <v>343</v>
      </c>
      <c r="F481" s="1" t="s">
        <v>349</v>
      </c>
      <c r="G481" s="1">
        <v>33</v>
      </c>
      <c r="H481" s="1">
        <v>1</v>
      </c>
      <c r="I481" s="1" t="s">
        <v>351</v>
      </c>
      <c r="J481" s="1">
        <v>5</v>
      </c>
      <c r="K481" s="17" t="str">
        <f t="shared" si="7"/>
        <v>Mar</v>
      </c>
    </row>
    <row r="482" spans="1:11" x14ac:dyDescent="0.25">
      <c r="A482" s="16" t="s">
        <v>11</v>
      </c>
      <c r="B482" s="4" t="s">
        <v>179</v>
      </c>
      <c r="C482" s="1">
        <v>1276</v>
      </c>
      <c r="D482" s="1" t="s">
        <v>342</v>
      </c>
      <c r="E482" s="1" t="s">
        <v>344</v>
      </c>
      <c r="F482" s="1" t="s">
        <v>349</v>
      </c>
      <c r="G482" s="1">
        <v>45</v>
      </c>
      <c r="H482" s="1">
        <v>3</v>
      </c>
      <c r="I482" s="1" t="s">
        <v>351</v>
      </c>
      <c r="J482" s="1">
        <v>2</v>
      </c>
      <c r="K482" s="17" t="str">
        <f t="shared" si="7"/>
        <v>Sep</v>
      </c>
    </row>
    <row r="483" spans="1:11" x14ac:dyDescent="0.25">
      <c r="A483" s="16" t="s">
        <v>11</v>
      </c>
      <c r="B483" s="1" t="s">
        <v>283</v>
      </c>
      <c r="C483" s="1">
        <v>1410</v>
      </c>
      <c r="D483" s="1" t="s">
        <v>340</v>
      </c>
      <c r="E483" s="1" t="s">
        <v>345</v>
      </c>
      <c r="F483" s="1" t="s">
        <v>350</v>
      </c>
      <c r="G483" s="1">
        <v>13</v>
      </c>
      <c r="H483" s="1">
        <v>0</v>
      </c>
      <c r="I483" s="1" t="s">
        <v>352</v>
      </c>
      <c r="J483" s="1">
        <v>0</v>
      </c>
      <c r="K483" s="17" t="str">
        <f t="shared" si="7"/>
        <v>Apr</v>
      </c>
    </row>
    <row r="484" spans="1:11" x14ac:dyDescent="0.25">
      <c r="A484" s="16" t="s">
        <v>13</v>
      </c>
      <c r="B484" s="4" t="s">
        <v>284</v>
      </c>
      <c r="C484" s="1">
        <v>1942</v>
      </c>
      <c r="D484" s="1" t="s">
        <v>340</v>
      </c>
      <c r="E484" s="1" t="s">
        <v>346</v>
      </c>
      <c r="F484" s="1" t="s">
        <v>349</v>
      </c>
      <c r="G484" s="1">
        <v>3</v>
      </c>
      <c r="H484" s="1">
        <v>2</v>
      </c>
      <c r="I484" s="1" t="s">
        <v>353</v>
      </c>
      <c r="J484" s="1">
        <v>4</v>
      </c>
      <c r="K484" s="17" t="str">
        <f t="shared" si="7"/>
        <v>Oct</v>
      </c>
    </row>
    <row r="485" spans="1:11" x14ac:dyDescent="0.25">
      <c r="A485" s="16" t="s">
        <v>12</v>
      </c>
      <c r="B485" s="4" t="s">
        <v>32</v>
      </c>
      <c r="C485" s="1">
        <v>1618</v>
      </c>
      <c r="D485" s="1" t="s">
        <v>341</v>
      </c>
      <c r="E485" s="1" t="s">
        <v>346</v>
      </c>
      <c r="F485" s="1" t="s">
        <v>349</v>
      </c>
      <c r="G485" s="1">
        <v>29</v>
      </c>
      <c r="H485" s="1">
        <v>9</v>
      </c>
      <c r="I485" s="1" t="s">
        <v>352</v>
      </c>
      <c r="J485" s="1">
        <v>4</v>
      </c>
      <c r="K485" s="17" t="str">
        <f t="shared" si="7"/>
        <v>May</v>
      </c>
    </row>
    <row r="486" spans="1:11" x14ac:dyDescent="0.25">
      <c r="A486" s="16" t="s">
        <v>13</v>
      </c>
      <c r="B486" s="1" t="s">
        <v>196</v>
      </c>
      <c r="C486" s="1">
        <v>817</v>
      </c>
      <c r="D486" s="1" t="s">
        <v>342</v>
      </c>
      <c r="E486" s="1" t="s">
        <v>344</v>
      </c>
      <c r="F486" s="1" t="s">
        <v>348</v>
      </c>
      <c r="G486" s="1">
        <v>30</v>
      </c>
      <c r="H486" s="1">
        <v>8</v>
      </c>
      <c r="I486" s="1" t="s">
        <v>353</v>
      </c>
      <c r="J486" s="1">
        <v>2</v>
      </c>
      <c r="K486" s="17" t="str">
        <f t="shared" si="7"/>
        <v>Aug</v>
      </c>
    </row>
    <row r="487" spans="1:11" x14ac:dyDescent="0.25">
      <c r="A487" s="16" t="s">
        <v>12</v>
      </c>
      <c r="B487" s="1" t="s">
        <v>222</v>
      </c>
      <c r="C487" s="1">
        <v>735</v>
      </c>
      <c r="D487" s="1" t="s">
        <v>342</v>
      </c>
      <c r="E487" s="1" t="s">
        <v>343</v>
      </c>
      <c r="F487" s="1" t="s">
        <v>348</v>
      </c>
      <c r="G487" s="1">
        <v>37</v>
      </c>
      <c r="H487" s="1">
        <v>9</v>
      </c>
      <c r="I487" s="1" t="s">
        <v>354</v>
      </c>
      <c r="J487" s="1">
        <v>4</v>
      </c>
      <c r="K487" s="17" t="str">
        <f t="shared" si="7"/>
        <v>Dec</v>
      </c>
    </row>
    <row r="488" spans="1:11" x14ac:dyDescent="0.25">
      <c r="A488" s="16" t="s">
        <v>13</v>
      </c>
      <c r="B488" s="1" t="s">
        <v>285</v>
      </c>
      <c r="C488" s="1">
        <v>833</v>
      </c>
      <c r="D488" s="1" t="s">
        <v>341</v>
      </c>
      <c r="E488" s="1" t="s">
        <v>344</v>
      </c>
      <c r="F488" s="1" t="s">
        <v>347</v>
      </c>
      <c r="G488" s="1">
        <v>10</v>
      </c>
      <c r="H488" s="1">
        <v>4</v>
      </c>
      <c r="I488" s="1" t="s">
        <v>352</v>
      </c>
      <c r="J488" s="1">
        <v>1</v>
      </c>
      <c r="K488" s="17" t="str">
        <f t="shared" si="7"/>
        <v>Oct</v>
      </c>
    </row>
    <row r="489" spans="1:11" x14ac:dyDescent="0.25">
      <c r="A489" s="16" t="s">
        <v>10</v>
      </c>
      <c r="B489" s="1" t="s">
        <v>32</v>
      </c>
      <c r="C489" s="1">
        <v>875</v>
      </c>
      <c r="D489" s="1" t="s">
        <v>340</v>
      </c>
      <c r="E489" s="1" t="s">
        <v>344</v>
      </c>
      <c r="F489" s="1" t="s">
        <v>348</v>
      </c>
      <c r="G489" s="1">
        <v>34</v>
      </c>
      <c r="H489" s="1">
        <v>10</v>
      </c>
      <c r="I489" s="1" t="s">
        <v>353</v>
      </c>
      <c r="J489" s="1">
        <v>2</v>
      </c>
      <c r="K489" s="17" t="str">
        <f t="shared" si="7"/>
        <v>May</v>
      </c>
    </row>
    <row r="490" spans="1:11" x14ac:dyDescent="0.25">
      <c r="A490" s="16" t="s">
        <v>11</v>
      </c>
      <c r="B490" s="1" t="s">
        <v>286</v>
      </c>
      <c r="C490" s="1">
        <v>1982</v>
      </c>
      <c r="D490" s="1" t="s">
        <v>340</v>
      </c>
      <c r="E490" s="1" t="s">
        <v>344</v>
      </c>
      <c r="F490" s="1" t="s">
        <v>348</v>
      </c>
      <c r="G490" s="1">
        <v>7</v>
      </c>
      <c r="H490" s="1">
        <v>5</v>
      </c>
      <c r="I490" s="1" t="s">
        <v>353</v>
      </c>
      <c r="J490" s="1">
        <v>3</v>
      </c>
      <c r="K490" s="17" t="str">
        <f t="shared" si="7"/>
        <v>Jun</v>
      </c>
    </row>
    <row r="491" spans="1:11" x14ac:dyDescent="0.25">
      <c r="A491" s="16" t="s">
        <v>12</v>
      </c>
      <c r="B491" s="1" t="s">
        <v>187</v>
      </c>
      <c r="C491" s="1">
        <v>1660</v>
      </c>
      <c r="D491" s="1" t="s">
        <v>340</v>
      </c>
      <c r="E491" s="1" t="s">
        <v>343</v>
      </c>
      <c r="F491" s="1" t="s">
        <v>348</v>
      </c>
      <c r="G491" s="1">
        <v>2</v>
      </c>
      <c r="H491" s="1">
        <v>2</v>
      </c>
      <c r="I491" s="1" t="s">
        <v>352</v>
      </c>
      <c r="J491" s="1">
        <v>1</v>
      </c>
      <c r="K491" s="17" t="str">
        <f t="shared" si="7"/>
        <v>Feb</v>
      </c>
    </row>
    <row r="492" spans="1:11" x14ac:dyDescent="0.25">
      <c r="A492" s="16" t="s">
        <v>12</v>
      </c>
      <c r="B492" s="1" t="s">
        <v>263</v>
      </c>
      <c r="C492" s="1">
        <v>1087</v>
      </c>
      <c r="D492" s="1" t="s">
        <v>340</v>
      </c>
      <c r="E492" s="1" t="s">
        <v>345</v>
      </c>
      <c r="F492" s="1" t="s">
        <v>348</v>
      </c>
      <c r="G492" s="1">
        <v>13</v>
      </c>
      <c r="H492" s="1">
        <v>4</v>
      </c>
      <c r="I492" s="1" t="s">
        <v>352</v>
      </c>
      <c r="J492" s="1">
        <v>1</v>
      </c>
      <c r="K492" s="17" t="str">
        <f t="shared" si="7"/>
        <v>Jul</v>
      </c>
    </row>
    <row r="493" spans="1:11" x14ac:dyDescent="0.25">
      <c r="A493" s="16" t="s">
        <v>11</v>
      </c>
      <c r="B493" s="1" t="s">
        <v>228</v>
      </c>
      <c r="C493" s="1">
        <v>1012</v>
      </c>
      <c r="D493" s="1" t="s">
        <v>342</v>
      </c>
      <c r="E493" s="1" t="s">
        <v>344</v>
      </c>
      <c r="F493" s="1" t="s">
        <v>350</v>
      </c>
      <c r="G493" s="1">
        <v>12</v>
      </c>
      <c r="H493" s="1">
        <v>10</v>
      </c>
      <c r="I493" s="1" t="s">
        <v>353</v>
      </c>
      <c r="J493" s="1">
        <v>1</v>
      </c>
      <c r="K493" s="17" t="str">
        <f t="shared" si="7"/>
        <v>Apr</v>
      </c>
    </row>
    <row r="494" spans="1:11" x14ac:dyDescent="0.25">
      <c r="A494" s="16" t="s">
        <v>12</v>
      </c>
      <c r="B494" s="1" t="s">
        <v>58</v>
      </c>
      <c r="C494" s="1">
        <v>1819</v>
      </c>
      <c r="D494" s="1" t="s">
        <v>342</v>
      </c>
      <c r="E494" s="1" t="s">
        <v>343</v>
      </c>
      <c r="F494" s="1" t="s">
        <v>348</v>
      </c>
      <c r="G494" s="1">
        <v>44</v>
      </c>
      <c r="H494" s="1">
        <v>7</v>
      </c>
      <c r="I494" s="1" t="s">
        <v>352</v>
      </c>
      <c r="J494" s="1">
        <v>3</v>
      </c>
      <c r="K494" s="17" t="str">
        <f t="shared" si="7"/>
        <v>Dec</v>
      </c>
    </row>
    <row r="495" spans="1:11" x14ac:dyDescent="0.25">
      <c r="A495" s="16" t="s">
        <v>12</v>
      </c>
      <c r="B495" s="1" t="s">
        <v>252</v>
      </c>
      <c r="C495" s="1">
        <v>1843</v>
      </c>
      <c r="D495" s="1" t="s">
        <v>341</v>
      </c>
      <c r="E495" s="1" t="s">
        <v>345</v>
      </c>
      <c r="F495" s="1" t="s">
        <v>350</v>
      </c>
      <c r="G495" s="1">
        <v>31</v>
      </c>
      <c r="H495" s="1">
        <v>5</v>
      </c>
      <c r="I495" s="1" t="s">
        <v>351</v>
      </c>
      <c r="J495" s="1">
        <v>0</v>
      </c>
      <c r="K495" s="17" t="str">
        <f t="shared" si="7"/>
        <v>Nov</v>
      </c>
    </row>
    <row r="496" spans="1:11" x14ac:dyDescent="0.25">
      <c r="A496" s="16" t="s">
        <v>13</v>
      </c>
      <c r="B496" s="1" t="s">
        <v>229</v>
      </c>
      <c r="C496" s="1">
        <v>1417</v>
      </c>
      <c r="D496" s="1" t="s">
        <v>341</v>
      </c>
      <c r="E496" s="1" t="s">
        <v>344</v>
      </c>
      <c r="F496" s="1" t="s">
        <v>350</v>
      </c>
      <c r="G496" s="1">
        <v>33</v>
      </c>
      <c r="H496" s="1">
        <v>3</v>
      </c>
      <c r="I496" s="1" t="s">
        <v>352</v>
      </c>
      <c r="J496" s="1">
        <v>5</v>
      </c>
      <c r="K496" s="17" t="str">
        <f t="shared" si="7"/>
        <v>Jan</v>
      </c>
    </row>
    <row r="497" spans="1:11" x14ac:dyDescent="0.25">
      <c r="A497" s="16" t="s">
        <v>12</v>
      </c>
      <c r="B497" s="1" t="s">
        <v>149</v>
      </c>
      <c r="C497" s="1">
        <v>1872</v>
      </c>
      <c r="D497" s="1" t="s">
        <v>342</v>
      </c>
      <c r="E497" s="1" t="s">
        <v>346</v>
      </c>
      <c r="F497" s="1" t="s">
        <v>348</v>
      </c>
      <c r="G497" s="1">
        <v>44</v>
      </c>
      <c r="H497" s="1">
        <v>1</v>
      </c>
      <c r="I497" s="1" t="s">
        <v>352</v>
      </c>
      <c r="J497" s="1">
        <v>4</v>
      </c>
      <c r="K497" s="17" t="str">
        <f t="shared" si="7"/>
        <v>Mar</v>
      </c>
    </row>
    <row r="498" spans="1:11" x14ac:dyDescent="0.25">
      <c r="A498" s="16" t="s">
        <v>10</v>
      </c>
      <c r="B498" s="4" t="s">
        <v>265</v>
      </c>
      <c r="C498" s="1">
        <v>1372</v>
      </c>
      <c r="D498" s="1" t="s">
        <v>342</v>
      </c>
      <c r="E498" s="1" t="s">
        <v>345</v>
      </c>
      <c r="F498" s="1" t="s">
        <v>349</v>
      </c>
      <c r="G498" s="1">
        <v>18</v>
      </c>
      <c r="H498" s="1">
        <v>8</v>
      </c>
      <c r="I498" s="1" t="s">
        <v>352</v>
      </c>
      <c r="J498" s="1">
        <v>2</v>
      </c>
      <c r="K498" s="17" t="str">
        <f t="shared" si="7"/>
        <v>Dec</v>
      </c>
    </row>
    <row r="499" spans="1:11" x14ac:dyDescent="0.25">
      <c r="A499" s="16" t="s">
        <v>10</v>
      </c>
      <c r="B499" s="1" t="s">
        <v>275</v>
      </c>
      <c r="C499" s="1">
        <v>1752</v>
      </c>
      <c r="D499" s="1" t="s">
        <v>340</v>
      </c>
      <c r="E499" s="1" t="s">
        <v>344</v>
      </c>
      <c r="F499" s="1" t="s">
        <v>350</v>
      </c>
      <c r="G499" s="1">
        <v>37</v>
      </c>
      <c r="H499" s="1">
        <v>0</v>
      </c>
      <c r="I499" s="1" t="s">
        <v>353</v>
      </c>
      <c r="J499" s="1">
        <v>0</v>
      </c>
      <c r="K499" s="17" t="str">
        <f t="shared" si="7"/>
        <v>Jun</v>
      </c>
    </row>
    <row r="500" spans="1:11" x14ac:dyDescent="0.25">
      <c r="A500" s="16" t="s">
        <v>11</v>
      </c>
      <c r="B500" s="4" t="s">
        <v>287</v>
      </c>
      <c r="C500" s="1">
        <v>769</v>
      </c>
      <c r="D500" s="1" t="s">
        <v>340</v>
      </c>
      <c r="E500" s="1" t="s">
        <v>345</v>
      </c>
      <c r="F500" s="1" t="s">
        <v>349</v>
      </c>
      <c r="G500" s="1">
        <v>15</v>
      </c>
      <c r="H500" s="1">
        <v>0</v>
      </c>
      <c r="I500" s="1" t="s">
        <v>351</v>
      </c>
      <c r="J500" s="1">
        <v>2</v>
      </c>
      <c r="K500" s="17" t="str">
        <f t="shared" si="7"/>
        <v>Nov</v>
      </c>
    </row>
    <row r="501" spans="1:11" x14ac:dyDescent="0.25">
      <c r="A501" s="16" t="s">
        <v>12</v>
      </c>
      <c r="B501" s="4" t="s">
        <v>184</v>
      </c>
      <c r="C501" s="1">
        <v>1297</v>
      </c>
      <c r="D501" s="1" t="s">
        <v>341</v>
      </c>
      <c r="E501" s="1" t="s">
        <v>345</v>
      </c>
      <c r="F501" s="1" t="s">
        <v>349</v>
      </c>
      <c r="G501" s="1">
        <v>1</v>
      </c>
      <c r="H501" s="1">
        <v>3</v>
      </c>
      <c r="I501" s="1" t="s">
        <v>354</v>
      </c>
      <c r="J501" s="1">
        <v>4</v>
      </c>
      <c r="K501" s="17" t="str">
        <f t="shared" si="7"/>
        <v>Nov</v>
      </c>
    </row>
    <row r="502" spans="1:11" x14ac:dyDescent="0.25">
      <c r="A502" s="16" t="s">
        <v>11</v>
      </c>
      <c r="B502" s="1" t="s">
        <v>288</v>
      </c>
      <c r="C502" s="1">
        <v>1814</v>
      </c>
      <c r="D502" s="1" t="s">
        <v>342</v>
      </c>
      <c r="E502" s="1" t="s">
        <v>345</v>
      </c>
      <c r="F502" s="1" t="s">
        <v>348</v>
      </c>
      <c r="G502" s="1">
        <v>39</v>
      </c>
      <c r="H502" s="1">
        <v>6</v>
      </c>
      <c r="I502" s="1" t="s">
        <v>354</v>
      </c>
      <c r="J502" s="1">
        <v>3</v>
      </c>
      <c r="K502" s="17" t="str">
        <f t="shared" si="7"/>
        <v>Sep</v>
      </c>
    </row>
    <row r="503" spans="1:11" x14ac:dyDescent="0.25">
      <c r="A503" s="16" t="s">
        <v>10</v>
      </c>
      <c r="B503" s="1" t="s">
        <v>289</v>
      </c>
      <c r="C503" s="1">
        <v>1224</v>
      </c>
      <c r="D503" s="1" t="s">
        <v>341</v>
      </c>
      <c r="E503" s="1" t="s">
        <v>345</v>
      </c>
      <c r="F503" s="1" t="s">
        <v>347</v>
      </c>
      <c r="G503" s="1">
        <v>16</v>
      </c>
      <c r="H503" s="1">
        <v>0</v>
      </c>
      <c r="I503" s="1" t="s">
        <v>351</v>
      </c>
      <c r="J503" s="1">
        <v>1</v>
      </c>
      <c r="K503" s="17" t="str">
        <f t="shared" si="7"/>
        <v>Aug</v>
      </c>
    </row>
    <row r="504" spans="1:11" x14ac:dyDescent="0.25">
      <c r="A504" s="16" t="s">
        <v>12</v>
      </c>
      <c r="B504" s="1" t="s">
        <v>59</v>
      </c>
      <c r="C504" s="1">
        <v>1688</v>
      </c>
      <c r="D504" s="1" t="s">
        <v>342</v>
      </c>
      <c r="E504" s="1" t="s">
        <v>345</v>
      </c>
      <c r="F504" s="1" t="s">
        <v>348</v>
      </c>
      <c r="G504" s="1">
        <v>33</v>
      </c>
      <c r="H504" s="1">
        <v>8</v>
      </c>
      <c r="I504" s="1" t="s">
        <v>351</v>
      </c>
      <c r="J504" s="1">
        <v>1</v>
      </c>
      <c r="K504" s="17" t="str">
        <f t="shared" si="7"/>
        <v>Mar</v>
      </c>
    </row>
    <row r="505" spans="1:11" x14ac:dyDescent="0.25">
      <c r="A505" s="16" t="s">
        <v>12</v>
      </c>
      <c r="B505" s="1" t="s">
        <v>241</v>
      </c>
      <c r="C505" s="1">
        <v>504</v>
      </c>
      <c r="D505" s="1" t="s">
        <v>340</v>
      </c>
      <c r="E505" s="1" t="s">
        <v>345</v>
      </c>
      <c r="F505" s="1" t="s">
        <v>347</v>
      </c>
      <c r="G505" s="1">
        <v>41</v>
      </c>
      <c r="H505" s="1">
        <v>3</v>
      </c>
      <c r="I505" s="1" t="s">
        <v>351</v>
      </c>
      <c r="J505" s="1">
        <v>3</v>
      </c>
      <c r="K505" s="17" t="str">
        <f t="shared" si="7"/>
        <v>May</v>
      </c>
    </row>
    <row r="506" spans="1:11" x14ac:dyDescent="0.25">
      <c r="A506" s="16" t="s">
        <v>11</v>
      </c>
      <c r="B506" s="1" t="s">
        <v>196</v>
      </c>
      <c r="C506" s="1">
        <v>1350</v>
      </c>
      <c r="D506" s="1" t="s">
        <v>341</v>
      </c>
      <c r="E506" s="1" t="s">
        <v>344</v>
      </c>
      <c r="F506" s="1" t="s">
        <v>347</v>
      </c>
      <c r="G506" s="1">
        <v>15</v>
      </c>
      <c r="H506" s="1">
        <v>2</v>
      </c>
      <c r="I506" s="1" t="s">
        <v>353</v>
      </c>
      <c r="J506" s="1">
        <v>0</v>
      </c>
      <c r="K506" s="17" t="str">
        <f t="shared" si="7"/>
        <v>Aug</v>
      </c>
    </row>
    <row r="507" spans="1:11" x14ac:dyDescent="0.25">
      <c r="A507" s="16" t="s">
        <v>10</v>
      </c>
      <c r="B507" s="1" t="s">
        <v>186</v>
      </c>
      <c r="C507" s="1">
        <v>1902</v>
      </c>
      <c r="D507" s="1" t="s">
        <v>341</v>
      </c>
      <c r="E507" s="1" t="s">
        <v>346</v>
      </c>
      <c r="F507" s="1" t="s">
        <v>348</v>
      </c>
      <c r="G507" s="1">
        <v>37</v>
      </c>
      <c r="H507" s="1">
        <v>0</v>
      </c>
      <c r="I507" s="1" t="s">
        <v>354</v>
      </c>
      <c r="J507" s="1">
        <v>0</v>
      </c>
      <c r="K507" s="17" t="str">
        <f t="shared" si="7"/>
        <v>Dec</v>
      </c>
    </row>
    <row r="508" spans="1:11" x14ac:dyDescent="0.25">
      <c r="A508" s="16" t="s">
        <v>12</v>
      </c>
      <c r="B508" s="1" t="s">
        <v>290</v>
      </c>
      <c r="C508" s="1">
        <v>577</v>
      </c>
      <c r="D508" s="1" t="s">
        <v>342</v>
      </c>
      <c r="E508" s="1" t="s">
        <v>343</v>
      </c>
      <c r="F508" s="1" t="s">
        <v>348</v>
      </c>
      <c r="G508" s="1">
        <v>1</v>
      </c>
      <c r="H508" s="1">
        <v>9</v>
      </c>
      <c r="I508" s="1" t="s">
        <v>351</v>
      </c>
      <c r="J508" s="1">
        <v>2</v>
      </c>
      <c r="K508" s="17" t="str">
        <f t="shared" si="7"/>
        <v>Nov</v>
      </c>
    </row>
    <row r="509" spans="1:11" x14ac:dyDescent="0.25">
      <c r="A509" s="16" t="s">
        <v>11</v>
      </c>
      <c r="B509" s="1" t="s">
        <v>37</v>
      </c>
      <c r="C509" s="1">
        <v>1933</v>
      </c>
      <c r="D509" s="1" t="s">
        <v>340</v>
      </c>
      <c r="E509" s="1" t="s">
        <v>345</v>
      </c>
      <c r="F509" s="1" t="s">
        <v>347</v>
      </c>
      <c r="G509" s="1">
        <v>1</v>
      </c>
      <c r="H509" s="1">
        <v>3</v>
      </c>
      <c r="I509" s="1" t="s">
        <v>353</v>
      </c>
      <c r="J509" s="1">
        <v>3</v>
      </c>
      <c r="K509" s="17" t="str">
        <f t="shared" si="7"/>
        <v>Aug</v>
      </c>
    </row>
    <row r="510" spans="1:11" x14ac:dyDescent="0.25">
      <c r="A510" s="16" t="s">
        <v>10</v>
      </c>
      <c r="B510" s="1" t="s">
        <v>194</v>
      </c>
      <c r="C510" s="1">
        <v>1073</v>
      </c>
      <c r="D510" s="1" t="s">
        <v>341</v>
      </c>
      <c r="E510" s="1" t="s">
        <v>343</v>
      </c>
      <c r="F510" s="1" t="s">
        <v>348</v>
      </c>
      <c r="G510" s="1">
        <v>25</v>
      </c>
      <c r="H510" s="1">
        <v>8</v>
      </c>
      <c r="I510" s="1" t="s">
        <v>354</v>
      </c>
      <c r="J510" s="1">
        <v>0</v>
      </c>
      <c r="K510" s="17" t="str">
        <f t="shared" si="7"/>
        <v>Sep</v>
      </c>
    </row>
    <row r="511" spans="1:11" x14ac:dyDescent="0.25">
      <c r="A511" s="16" t="s">
        <v>11</v>
      </c>
      <c r="B511" s="1" t="s">
        <v>268</v>
      </c>
      <c r="C511" s="1">
        <v>631</v>
      </c>
      <c r="D511" s="1" t="s">
        <v>340</v>
      </c>
      <c r="E511" s="1" t="s">
        <v>344</v>
      </c>
      <c r="F511" s="1" t="s">
        <v>347</v>
      </c>
      <c r="G511" s="1">
        <v>12</v>
      </c>
      <c r="H511" s="1">
        <v>9</v>
      </c>
      <c r="I511" s="1" t="s">
        <v>352</v>
      </c>
      <c r="J511" s="1">
        <v>3</v>
      </c>
      <c r="K511" s="17" t="str">
        <f t="shared" si="7"/>
        <v>Dec</v>
      </c>
    </row>
    <row r="512" spans="1:11" x14ac:dyDescent="0.25">
      <c r="A512" s="16" t="s">
        <v>13</v>
      </c>
      <c r="B512" s="4" t="s">
        <v>24</v>
      </c>
      <c r="C512" s="1">
        <v>1100</v>
      </c>
      <c r="D512" s="1" t="s">
        <v>341</v>
      </c>
      <c r="E512" s="1" t="s">
        <v>345</v>
      </c>
      <c r="F512" s="1" t="s">
        <v>349</v>
      </c>
      <c r="G512" s="1">
        <v>46</v>
      </c>
      <c r="H512" s="1">
        <v>5</v>
      </c>
      <c r="I512" s="1" t="s">
        <v>353</v>
      </c>
      <c r="J512" s="1">
        <v>4</v>
      </c>
      <c r="K512" s="17" t="str">
        <f t="shared" si="7"/>
        <v>Aug</v>
      </c>
    </row>
    <row r="513" spans="1:11" x14ac:dyDescent="0.25">
      <c r="A513" s="16" t="s">
        <v>12</v>
      </c>
      <c r="B513" s="1" t="s">
        <v>291</v>
      </c>
      <c r="C513" s="1">
        <v>1565</v>
      </c>
      <c r="D513" s="1" t="s">
        <v>340</v>
      </c>
      <c r="E513" s="1" t="s">
        <v>346</v>
      </c>
      <c r="F513" s="1" t="s">
        <v>348</v>
      </c>
      <c r="G513" s="1">
        <v>30</v>
      </c>
      <c r="H513" s="1">
        <v>5</v>
      </c>
      <c r="I513" s="1" t="s">
        <v>354</v>
      </c>
      <c r="J513" s="1">
        <v>1</v>
      </c>
      <c r="K513" s="17" t="str">
        <f t="shared" si="7"/>
        <v>Dec</v>
      </c>
    </row>
    <row r="514" spans="1:11" x14ac:dyDescent="0.25">
      <c r="A514" s="16" t="s">
        <v>13</v>
      </c>
      <c r="B514" s="4" t="s">
        <v>36</v>
      </c>
      <c r="C514" s="1">
        <v>588</v>
      </c>
      <c r="D514" s="1" t="s">
        <v>342</v>
      </c>
      <c r="E514" s="1" t="s">
        <v>343</v>
      </c>
      <c r="F514" s="1" t="s">
        <v>349</v>
      </c>
      <c r="G514" s="1">
        <v>33</v>
      </c>
      <c r="H514" s="1">
        <v>0</v>
      </c>
      <c r="I514" s="1" t="s">
        <v>353</v>
      </c>
      <c r="J514" s="1">
        <v>1</v>
      </c>
      <c r="K514" s="17" t="str">
        <f t="shared" si="7"/>
        <v>Jan</v>
      </c>
    </row>
    <row r="515" spans="1:11" x14ac:dyDescent="0.25">
      <c r="A515" s="16" t="s">
        <v>10</v>
      </c>
      <c r="B515" s="1" t="s">
        <v>21</v>
      </c>
      <c r="C515" s="1">
        <v>901</v>
      </c>
      <c r="D515" s="1" t="s">
        <v>341</v>
      </c>
      <c r="E515" s="1" t="s">
        <v>345</v>
      </c>
      <c r="F515" s="1" t="s">
        <v>350</v>
      </c>
      <c r="G515" s="1">
        <v>38</v>
      </c>
      <c r="H515" s="1">
        <v>9</v>
      </c>
      <c r="I515" s="1" t="s">
        <v>354</v>
      </c>
      <c r="J515" s="1">
        <v>1</v>
      </c>
      <c r="K515" s="17" t="str">
        <f t="shared" si="7"/>
        <v>Apr</v>
      </c>
    </row>
    <row r="516" spans="1:11" x14ac:dyDescent="0.25">
      <c r="A516" s="16" t="s">
        <v>13</v>
      </c>
      <c r="B516" s="4" t="s">
        <v>131</v>
      </c>
      <c r="C516" s="1">
        <v>795</v>
      </c>
      <c r="D516" s="1" t="s">
        <v>341</v>
      </c>
      <c r="E516" s="1" t="s">
        <v>344</v>
      </c>
      <c r="F516" s="1" t="s">
        <v>349</v>
      </c>
      <c r="G516" s="1">
        <v>2</v>
      </c>
      <c r="H516" s="1">
        <v>1</v>
      </c>
      <c r="I516" s="1" t="s">
        <v>354</v>
      </c>
      <c r="J516" s="1">
        <v>3</v>
      </c>
      <c r="K516" s="17" t="str">
        <f t="shared" ref="K516:K579" si="8">TEXT(B516,"mmm")</f>
        <v>Dec</v>
      </c>
    </row>
    <row r="517" spans="1:11" x14ac:dyDescent="0.25">
      <c r="A517" s="16" t="s">
        <v>13</v>
      </c>
      <c r="B517" s="4" t="s">
        <v>249</v>
      </c>
      <c r="C517" s="1">
        <v>1818</v>
      </c>
      <c r="D517" s="1" t="s">
        <v>340</v>
      </c>
      <c r="E517" s="1" t="s">
        <v>346</v>
      </c>
      <c r="F517" s="1" t="s">
        <v>349</v>
      </c>
      <c r="G517" s="1">
        <v>7</v>
      </c>
      <c r="H517" s="1">
        <v>10</v>
      </c>
      <c r="I517" s="1" t="s">
        <v>352</v>
      </c>
      <c r="J517" s="1">
        <v>3</v>
      </c>
      <c r="K517" s="17" t="str">
        <f t="shared" si="8"/>
        <v>Jun</v>
      </c>
    </row>
    <row r="518" spans="1:11" x14ac:dyDescent="0.25">
      <c r="A518" s="16" t="s">
        <v>10</v>
      </c>
      <c r="B518" s="1" t="s">
        <v>292</v>
      </c>
      <c r="C518" s="1">
        <v>1115</v>
      </c>
      <c r="D518" s="1" t="s">
        <v>340</v>
      </c>
      <c r="E518" s="1" t="s">
        <v>343</v>
      </c>
      <c r="F518" s="1" t="s">
        <v>347</v>
      </c>
      <c r="G518" s="1">
        <v>22</v>
      </c>
      <c r="H518" s="1">
        <v>5</v>
      </c>
      <c r="I518" s="1" t="s">
        <v>353</v>
      </c>
      <c r="J518" s="1">
        <v>2</v>
      </c>
      <c r="K518" s="17" t="str">
        <f t="shared" si="8"/>
        <v>Jun</v>
      </c>
    </row>
    <row r="519" spans="1:11" x14ac:dyDescent="0.25">
      <c r="A519" s="16" t="s">
        <v>11</v>
      </c>
      <c r="B519" s="4" t="s">
        <v>293</v>
      </c>
      <c r="C519" s="1">
        <v>1299</v>
      </c>
      <c r="D519" s="1" t="s">
        <v>341</v>
      </c>
      <c r="E519" s="1" t="s">
        <v>343</v>
      </c>
      <c r="F519" s="1" t="s">
        <v>349</v>
      </c>
      <c r="G519" s="1">
        <v>13</v>
      </c>
      <c r="H519" s="1">
        <v>1</v>
      </c>
      <c r="I519" s="1" t="s">
        <v>351</v>
      </c>
      <c r="J519" s="1">
        <v>1</v>
      </c>
      <c r="K519" s="17" t="str">
        <f t="shared" si="8"/>
        <v>Sep</v>
      </c>
    </row>
    <row r="520" spans="1:11" x14ac:dyDescent="0.25">
      <c r="A520" s="16" t="s">
        <v>13</v>
      </c>
      <c r="B520" s="1" t="s">
        <v>142</v>
      </c>
      <c r="C520" s="1">
        <v>921</v>
      </c>
      <c r="D520" s="1" t="s">
        <v>342</v>
      </c>
      <c r="E520" s="1" t="s">
        <v>345</v>
      </c>
      <c r="F520" s="1" t="s">
        <v>348</v>
      </c>
      <c r="G520" s="1">
        <v>26</v>
      </c>
      <c r="H520" s="1">
        <v>2</v>
      </c>
      <c r="I520" s="1" t="s">
        <v>352</v>
      </c>
      <c r="J520" s="1">
        <v>2</v>
      </c>
      <c r="K520" s="17" t="str">
        <f t="shared" si="8"/>
        <v>Jul</v>
      </c>
    </row>
    <row r="521" spans="1:11" x14ac:dyDescent="0.25">
      <c r="A521" s="16" t="s">
        <v>11</v>
      </c>
      <c r="B521" s="1" t="s">
        <v>117</v>
      </c>
      <c r="C521" s="1">
        <v>1546</v>
      </c>
      <c r="D521" s="1" t="s">
        <v>340</v>
      </c>
      <c r="E521" s="1" t="s">
        <v>346</v>
      </c>
      <c r="F521" s="1" t="s">
        <v>347</v>
      </c>
      <c r="G521" s="1">
        <v>28</v>
      </c>
      <c r="H521" s="1">
        <v>3</v>
      </c>
      <c r="I521" s="1" t="s">
        <v>352</v>
      </c>
      <c r="J521" s="1">
        <v>1</v>
      </c>
      <c r="K521" s="17" t="str">
        <f t="shared" si="8"/>
        <v>Sep</v>
      </c>
    </row>
    <row r="522" spans="1:11" x14ac:dyDescent="0.25">
      <c r="A522" s="16" t="s">
        <v>13</v>
      </c>
      <c r="B522" s="1" t="s">
        <v>52</v>
      </c>
      <c r="C522" s="1">
        <v>1074</v>
      </c>
      <c r="D522" s="1" t="s">
        <v>340</v>
      </c>
      <c r="E522" s="1" t="s">
        <v>346</v>
      </c>
      <c r="F522" s="1" t="s">
        <v>350</v>
      </c>
      <c r="G522" s="1">
        <v>38</v>
      </c>
      <c r="H522" s="1">
        <v>10</v>
      </c>
      <c r="I522" s="1" t="s">
        <v>354</v>
      </c>
      <c r="J522" s="1">
        <v>2</v>
      </c>
      <c r="K522" s="17" t="str">
        <f t="shared" si="8"/>
        <v>Sep</v>
      </c>
    </row>
    <row r="523" spans="1:11" x14ac:dyDescent="0.25">
      <c r="A523" s="16" t="s">
        <v>11</v>
      </c>
      <c r="B523" s="1" t="s">
        <v>70</v>
      </c>
      <c r="C523" s="1">
        <v>642</v>
      </c>
      <c r="D523" s="1" t="s">
        <v>340</v>
      </c>
      <c r="E523" s="1" t="s">
        <v>346</v>
      </c>
      <c r="F523" s="1" t="s">
        <v>348</v>
      </c>
      <c r="G523" s="1">
        <v>38</v>
      </c>
      <c r="H523" s="1">
        <v>4</v>
      </c>
      <c r="I523" s="1" t="s">
        <v>351</v>
      </c>
      <c r="J523" s="1">
        <v>2</v>
      </c>
      <c r="K523" s="17" t="str">
        <f t="shared" si="8"/>
        <v>Feb</v>
      </c>
    </row>
    <row r="524" spans="1:11" x14ac:dyDescent="0.25">
      <c r="A524" s="16" t="s">
        <v>10</v>
      </c>
      <c r="B524" s="1" t="s">
        <v>90</v>
      </c>
      <c r="C524" s="1">
        <v>1492</v>
      </c>
      <c r="D524" s="1" t="s">
        <v>341</v>
      </c>
      <c r="E524" s="1" t="s">
        <v>346</v>
      </c>
      <c r="F524" s="1" t="s">
        <v>350</v>
      </c>
      <c r="G524" s="1">
        <v>0</v>
      </c>
      <c r="H524" s="1">
        <v>8</v>
      </c>
      <c r="I524" s="1" t="s">
        <v>353</v>
      </c>
      <c r="J524" s="1">
        <v>4</v>
      </c>
      <c r="K524" s="17" t="str">
        <f t="shared" si="8"/>
        <v>May</v>
      </c>
    </row>
    <row r="525" spans="1:11" x14ac:dyDescent="0.25">
      <c r="A525" s="16" t="s">
        <v>13</v>
      </c>
      <c r="B525" s="4" t="s">
        <v>179</v>
      </c>
      <c r="C525" s="1">
        <v>1164</v>
      </c>
      <c r="D525" s="1" t="s">
        <v>341</v>
      </c>
      <c r="E525" s="1" t="s">
        <v>344</v>
      </c>
      <c r="F525" s="1" t="s">
        <v>349</v>
      </c>
      <c r="G525" s="1">
        <v>16</v>
      </c>
      <c r="H525" s="1">
        <v>3</v>
      </c>
      <c r="I525" s="1" t="s">
        <v>351</v>
      </c>
      <c r="J525" s="1">
        <v>2</v>
      </c>
      <c r="K525" s="17" t="str">
        <f t="shared" si="8"/>
        <v>Sep</v>
      </c>
    </row>
    <row r="526" spans="1:11" x14ac:dyDescent="0.25">
      <c r="A526" s="16" t="s">
        <v>10</v>
      </c>
      <c r="B526" s="1" t="s">
        <v>294</v>
      </c>
      <c r="C526" s="1">
        <v>644</v>
      </c>
      <c r="D526" s="1" t="s">
        <v>341</v>
      </c>
      <c r="E526" s="1" t="s">
        <v>346</v>
      </c>
      <c r="F526" s="1" t="s">
        <v>348</v>
      </c>
      <c r="G526" s="1">
        <v>40</v>
      </c>
      <c r="H526" s="1">
        <v>10</v>
      </c>
      <c r="I526" s="1" t="s">
        <v>351</v>
      </c>
      <c r="J526" s="1">
        <v>3</v>
      </c>
      <c r="K526" s="17" t="str">
        <f t="shared" si="8"/>
        <v>Apr</v>
      </c>
    </row>
    <row r="527" spans="1:11" x14ac:dyDescent="0.25">
      <c r="A527" s="16" t="s">
        <v>13</v>
      </c>
      <c r="B527" s="1" t="s">
        <v>127</v>
      </c>
      <c r="C527" s="1">
        <v>1748</v>
      </c>
      <c r="D527" s="1" t="s">
        <v>341</v>
      </c>
      <c r="E527" s="1" t="s">
        <v>343</v>
      </c>
      <c r="F527" s="1" t="s">
        <v>348</v>
      </c>
      <c r="G527" s="1">
        <v>29</v>
      </c>
      <c r="H527" s="1">
        <v>8</v>
      </c>
      <c r="I527" s="1" t="s">
        <v>351</v>
      </c>
      <c r="J527" s="1">
        <v>2</v>
      </c>
      <c r="K527" s="17" t="str">
        <f t="shared" si="8"/>
        <v>Apr</v>
      </c>
    </row>
    <row r="528" spans="1:11" x14ac:dyDescent="0.25">
      <c r="A528" s="16" t="s">
        <v>10</v>
      </c>
      <c r="B528" s="1" t="s">
        <v>125</v>
      </c>
      <c r="C528" s="1">
        <v>1506</v>
      </c>
      <c r="D528" s="1" t="s">
        <v>342</v>
      </c>
      <c r="E528" s="1" t="s">
        <v>343</v>
      </c>
      <c r="F528" s="1" t="s">
        <v>350</v>
      </c>
      <c r="G528" s="1">
        <v>12</v>
      </c>
      <c r="H528" s="1">
        <v>10</v>
      </c>
      <c r="I528" s="1" t="s">
        <v>351</v>
      </c>
      <c r="J528" s="1">
        <v>1</v>
      </c>
      <c r="K528" s="17" t="str">
        <f t="shared" si="8"/>
        <v>Mar</v>
      </c>
    </row>
    <row r="529" spans="1:11" x14ac:dyDescent="0.25">
      <c r="A529" s="16" t="s">
        <v>10</v>
      </c>
      <c r="B529" s="1" t="s">
        <v>86</v>
      </c>
      <c r="C529" s="1">
        <v>1002</v>
      </c>
      <c r="D529" s="1" t="s">
        <v>342</v>
      </c>
      <c r="E529" s="1" t="s">
        <v>344</v>
      </c>
      <c r="F529" s="1" t="s">
        <v>348</v>
      </c>
      <c r="G529" s="1">
        <v>20</v>
      </c>
      <c r="H529" s="1">
        <v>9</v>
      </c>
      <c r="I529" s="1" t="s">
        <v>351</v>
      </c>
      <c r="J529" s="1">
        <v>2</v>
      </c>
      <c r="K529" s="17" t="str">
        <f t="shared" si="8"/>
        <v>Sep</v>
      </c>
    </row>
    <row r="530" spans="1:11" x14ac:dyDescent="0.25">
      <c r="A530" s="16" t="s">
        <v>13</v>
      </c>
      <c r="B530" s="1" t="s">
        <v>295</v>
      </c>
      <c r="C530" s="1">
        <v>1320</v>
      </c>
      <c r="D530" s="1" t="s">
        <v>341</v>
      </c>
      <c r="E530" s="1" t="s">
        <v>343</v>
      </c>
      <c r="F530" s="1" t="s">
        <v>348</v>
      </c>
      <c r="G530" s="1">
        <v>18</v>
      </c>
      <c r="H530" s="1">
        <v>2</v>
      </c>
      <c r="I530" s="1" t="s">
        <v>354</v>
      </c>
      <c r="J530" s="1">
        <v>0</v>
      </c>
      <c r="K530" s="17" t="str">
        <f t="shared" si="8"/>
        <v>Aug</v>
      </c>
    </row>
    <row r="531" spans="1:11" x14ac:dyDescent="0.25">
      <c r="A531" s="16" t="s">
        <v>13</v>
      </c>
      <c r="B531" s="1" t="s">
        <v>182</v>
      </c>
      <c r="C531" s="1">
        <v>603</v>
      </c>
      <c r="D531" s="1" t="s">
        <v>342</v>
      </c>
      <c r="E531" s="1" t="s">
        <v>343</v>
      </c>
      <c r="F531" s="1" t="s">
        <v>348</v>
      </c>
      <c r="G531" s="1">
        <v>18</v>
      </c>
      <c r="H531" s="1">
        <v>7</v>
      </c>
      <c r="I531" s="1" t="s">
        <v>354</v>
      </c>
      <c r="J531" s="1">
        <v>5</v>
      </c>
      <c r="K531" s="17" t="str">
        <f t="shared" si="8"/>
        <v>Dec</v>
      </c>
    </row>
    <row r="532" spans="1:11" x14ac:dyDescent="0.25">
      <c r="A532" s="16" t="s">
        <v>13</v>
      </c>
      <c r="B532" s="4" t="s">
        <v>15</v>
      </c>
      <c r="C532" s="1">
        <v>1562</v>
      </c>
      <c r="D532" s="1" t="s">
        <v>340</v>
      </c>
      <c r="E532" s="1" t="s">
        <v>346</v>
      </c>
      <c r="F532" s="1" t="s">
        <v>349</v>
      </c>
      <c r="G532" s="1">
        <v>24</v>
      </c>
      <c r="H532" s="1">
        <v>0</v>
      </c>
      <c r="I532" s="1" t="s">
        <v>352</v>
      </c>
      <c r="J532" s="1">
        <v>1</v>
      </c>
      <c r="K532" s="17" t="str">
        <f t="shared" si="8"/>
        <v>Oct</v>
      </c>
    </row>
    <row r="533" spans="1:11" x14ac:dyDescent="0.25">
      <c r="A533" s="16" t="s">
        <v>12</v>
      </c>
      <c r="B533" s="1" t="s">
        <v>278</v>
      </c>
      <c r="C533" s="1">
        <v>697</v>
      </c>
      <c r="D533" s="1" t="s">
        <v>340</v>
      </c>
      <c r="E533" s="1" t="s">
        <v>343</v>
      </c>
      <c r="F533" s="1" t="s">
        <v>350</v>
      </c>
      <c r="G533" s="1">
        <v>21</v>
      </c>
      <c r="H533" s="1">
        <v>10</v>
      </c>
      <c r="I533" s="1" t="s">
        <v>354</v>
      </c>
      <c r="J533" s="1">
        <v>0</v>
      </c>
      <c r="K533" s="17" t="str">
        <f t="shared" si="8"/>
        <v>Nov</v>
      </c>
    </row>
    <row r="534" spans="1:11" x14ac:dyDescent="0.25">
      <c r="A534" s="16" t="s">
        <v>11</v>
      </c>
      <c r="B534" s="1" t="s">
        <v>97</v>
      </c>
      <c r="C534" s="1">
        <v>1078</v>
      </c>
      <c r="D534" s="1" t="s">
        <v>340</v>
      </c>
      <c r="E534" s="1" t="s">
        <v>344</v>
      </c>
      <c r="F534" s="1" t="s">
        <v>348</v>
      </c>
      <c r="G534" s="1">
        <v>30</v>
      </c>
      <c r="H534" s="1">
        <v>8</v>
      </c>
      <c r="I534" s="1" t="s">
        <v>352</v>
      </c>
      <c r="J534" s="1">
        <v>1</v>
      </c>
      <c r="K534" s="17" t="str">
        <f t="shared" si="8"/>
        <v>Jul</v>
      </c>
    </row>
    <row r="535" spans="1:11" x14ac:dyDescent="0.25">
      <c r="A535" s="16" t="s">
        <v>12</v>
      </c>
      <c r="B535" s="1" t="s">
        <v>69</v>
      </c>
      <c r="C535" s="1">
        <v>890</v>
      </c>
      <c r="D535" s="1" t="s">
        <v>341</v>
      </c>
      <c r="E535" s="1" t="s">
        <v>346</v>
      </c>
      <c r="F535" s="1" t="s">
        <v>347</v>
      </c>
      <c r="G535" s="1">
        <v>16</v>
      </c>
      <c r="H535" s="1">
        <v>8</v>
      </c>
      <c r="I535" s="1" t="s">
        <v>352</v>
      </c>
      <c r="J535" s="1">
        <v>3</v>
      </c>
      <c r="K535" s="17" t="str">
        <f t="shared" si="8"/>
        <v>Feb</v>
      </c>
    </row>
    <row r="536" spans="1:11" x14ac:dyDescent="0.25">
      <c r="A536" s="16" t="s">
        <v>12</v>
      </c>
      <c r="B536" s="1" t="s">
        <v>159</v>
      </c>
      <c r="C536" s="1">
        <v>1702</v>
      </c>
      <c r="D536" s="1" t="s">
        <v>340</v>
      </c>
      <c r="E536" s="1" t="s">
        <v>345</v>
      </c>
      <c r="F536" s="1" t="s">
        <v>347</v>
      </c>
      <c r="G536" s="1">
        <v>22</v>
      </c>
      <c r="H536" s="1">
        <v>9</v>
      </c>
      <c r="I536" s="1" t="s">
        <v>353</v>
      </c>
      <c r="J536" s="1">
        <v>5</v>
      </c>
      <c r="K536" s="17" t="str">
        <f t="shared" si="8"/>
        <v>Feb</v>
      </c>
    </row>
    <row r="537" spans="1:11" x14ac:dyDescent="0.25">
      <c r="A537" s="16" t="s">
        <v>10</v>
      </c>
      <c r="B537" s="1" t="s">
        <v>146</v>
      </c>
      <c r="C537" s="1">
        <v>1053</v>
      </c>
      <c r="D537" s="1" t="s">
        <v>342</v>
      </c>
      <c r="E537" s="1" t="s">
        <v>346</v>
      </c>
      <c r="F537" s="1" t="s">
        <v>347</v>
      </c>
      <c r="G537" s="1">
        <v>31</v>
      </c>
      <c r="H537" s="1">
        <v>1</v>
      </c>
      <c r="I537" s="1" t="s">
        <v>351</v>
      </c>
      <c r="J537" s="1">
        <v>5</v>
      </c>
      <c r="K537" s="17" t="str">
        <f t="shared" si="8"/>
        <v>Jul</v>
      </c>
    </row>
    <row r="538" spans="1:11" x14ac:dyDescent="0.25">
      <c r="A538" s="16" t="s">
        <v>13</v>
      </c>
      <c r="B538" s="1" t="s">
        <v>296</v>
      </c>
      <c r="C538" s="1">
        <v>1971</v>
      </c>
      <c r="D538" s="1" t="s">
        <v>341</v>
      </c>
      <c r="E538" s="1" t="s">
        <v>344</v>
      </c>
      <c r="F538" s="1" t="s">
        <v>347</v>
      </c>
      <c r="G538" s="1">
        <v>9</v>
      </c>
      <c r="H538" s="1">
        <v>3</v>
      </c>
      <c r="I538" s="1" t="s">
        <v>354</v>
      </c>
      <c r="J538" s="1">
        <v>3</v>
      </c>
      <c r="K538" s="17" t="str">
        <f t="shared" si="8"/>
        <v>Feb</v>
      </c>
    </row>
    <row r="539" spans="1:11" x14ac:dyDescent="0.25">
      <c r="A539" s="16" t="s">
        <v>11</v>
      </c>
      <c r="B539" s="4" t="s">
        <v>21</v>
      </c>
      <c r="C539" s="1">
        <v>1538</v>
      </c>
      <c r="D539" s="1" t="s">
        <v>342</v>
      </c>
      <c r="E539" s="1" t="s">
        <v>346</v>
      </c>
      <c r="F539" s="1" t="s">
        <v>349</v>
      </c>
      <c r="G539" s="1">
        <v>9</v>
      </c>
      <c r="H539" s="1">
        <v>7</v>
      </c>
      <c r="I539" s="1" t="s">
        <v>353</v>
      </c>
      <c r="J539" s="1">
        <v>5</v>
      </c>
      <c r="K539" s="17" t="str">
        <f t="shared" si="8"/>
        <v>Apr</v>
      </c>
    </row>
    <row r="540" spans="1:11" x14ac:dyDescent="0.25">
      <c r="A540" s="16" t="s">
        <v>10</v>
      </c>
      <c r="B540" s="1" t="s">
        <v>275</v>
      </c>
      <c r="C540" s="1">
        <v>1812</v>
      </c>
      <c r="D540" s="1" t="s">
        <v>340</v>
      </c>
      <c r="E540" s="1" t="s">
        <v>346</v>
      </c>
      <c r="F540" s="1" t="s">
        <v>348</v>
      </c>
      <c r="G540" s="1">
        <v>35</v>
      </c>
      <c r="H540" s="1">
        <v>6</v>
      </c>
      <c r="I540" s="1" t="s">
        <v>354</v>
      </c>
      <c r="J540" s="1">
        <v>3</v>
      </c>
      <c r="K540" s="17" t="str">
        <f t="shared" si="8"/>
        <v>Jun</v>
      </c>
    </row>
    <row r="541" spans="1:11" x14ac:dyDescent="0.25">
      <c r="A541" s="16" t="s">
        <v>12</v>
      </c>
      <c r="B541" s="1" t="s">
        <v>297</v>
      </c>
      <c r="C541" s="1">
        <v>977</v>
      </c>
      <c r="D541" s="1" t="s">
        <v>340</v>
      </c>
      <c r="E541" s="1" t="s">
        <v>344</v>
      </c>
      <c r="F541" s="1" t="s">
        <v>350</v>
      </c>
      <c r="G541" s="1">
        <v>7</v>
      </c>
      <c r="H541" s="1">
        <v>0</v>
      </c>
      <c r="I541" s="1" t="s">
        <v>352</v>
      </c>
      <c r="J541" s="1">
        <v>0</v>
      </c>
      <c r="K541" s="17" t="str">
        <f t="shared" si="8"/>
        <v>Jun</v>
      </c>
    </row>
    <row r="542" spans="1:11" x14ac:dyDescent="0.25">
      <c r="A542" s="16" t="s">
        <v>13</v>
      </c>
      <c r="B542" s="1" t="s">
        <v>121</v>
      </c>
      <c r="C542" s="1">
        <v>1754</v>
      </c>
      <c r="D542" s="1" t="s">
        <v>340</v>
      </c>
      <c r="E542" s="1" t="s">
        <v>346</v>
      </c>
      <c r="F542" s="1" t="s">
        <v>348</v>
      </c>
      <c r="G542" s="1">
        <v>19</v>
      </c>
      <c r="H542" s="1">
        <v>4</v>
      </c>
      <c r="I542" s="1" t="s">
        <v>354</v>
      </c>
      <c r="J542" s="1">
        <v>4</v>
      </c>
      <c r="K542" s="17" t="str">
        <f t="shared" si="8"/>
        <v>Nov</v>
      </c>
    </row>
    <row r="543" spans="1:11" x14ac:dyDescent="0.25">
      <c r="A543" s="16" t="s">
        <v>10</v>
      </c>
      <c r="B543" s="4" t="s">
        <v>58</v>
      </c>
      <c r="C543" s="1">
        <v>1422</v>
      </c>
      <c r="D543" s="1" t="s">
        <v>341</v>
      </c>
      <c r="E543" s="1" t="s">
        <v>344</v>
      </c>
      <c r="F543" s="1" t="s">
        <v>349</v>
      </c>
      <c r="G543" s="1">
        <v>31</v>
      </c>
      <c r="H543" s="1">
        <v>6</v>
      </c>
      <c r="I543" s="1" t="s">
        <v>351</v>
      </c>
      <c r="J543" s="1">
        <v>1</v>
      </c>
      <c r="K543" s="17" t="str">
        <f t="shared" si="8"/>
        <v>Dec</v>
      </c>
    </row>
    <row r="544" spans="1:11" x14ac:dyDescent="0.25">
      <c r="A544" s="16" t="s">
        <v>13</v>
      </c>
      <c r="B544" s="1" t="s">
        <v>224</v>
      </c>
      <c r="C544" s="1">
        <v>919</v>
      </c>
      <c r="D544" s="1" t="s">
        <v>342</v>
      </c>
      <c r="E544" s="1" t="s">
        <v>344</v>
      </c>
      <c r="F544" s="1" t="s">
        <v>347</v>
      </c>
      <c r="G544" s="1">
        <v>49</v>
      </c>
      <c r="H544" s="1">
        <v>3</v>
      </c>
      <c r="I544" s="1" t="s">
        <v>352</v>
      </c>
      <c r="J544" s="1">
        <v>3</v>
      </c>
      <c r="K544" s="17" t="str">
        <f t="shared" si="8"/>
        <v>Feb</v>
      </c>
    </row>
    <row r="545" spans="1:11" x14ac:dyDescent="0.25">
      <c r="A545" s="16" t="s">
        <v>10</v>
      </c>
      <c r="B545" s="4" t="s">
        <v>192</v>
      </c>
      <c r="C545" s="1">
        <v>656</v>
      </c>
      <c r="D545" s="1" t="s">
        <v>341</v>
      </c>
      <c r="E545" s="1" t="s">
        <v>345</v>
      </c>
      <c r="F545" s="1" t="s">
        <v>349</v>
      </c>
      <c r="G545" s="1">
        <v>13</v>
      </c>
      <c r="H545" s="1">
        <v>0</v>
      </c>
      <c r="I545" s="1" t="s">
        <v>352</v>
      </c>
      <c r="J545" s="1">
        <v>1</v>
      </c>
      <c r="K545" s="17" t="str">
        <f t="shared" si="8"/>
        <v>Nov</v>
      </c>
    </row>
    <row r="546" spans="1:11" x14ac:dyDescent="0.25">
      <c r="A546" s="16" t="s">
        <v>13</v>
      </c>
      <c r="B546" s="1" t="s">
        <v>120</v>
      </c>
      <c r="C546" s="1">
        <v>1049</v>
      </c>
      <c r="D546" s="1" t="s">
        <v>341</v>
      </c>
      <c r="E546" s="1" t="s">
        <v>343</v>
      </c>
      <c r="F546" s="1" t="s">
        <v>348</v>
      </c>
      <c r="G546" s="1">
        <v>49</v>
      </c>
      <c r="H546" s="1">
        <v>8</v>
      </c>
      <c r="I546" s="1" t="s">
        <v>353</v>
      </c>
      <c r="J546" s="1">
        <v>0</v>
      </c>
      <c r="K546" s="17" t="str">
        <f t="shared" si="8"/>
        <v>Nov</v>
      </c>
    </row>
    <row r="547" spans="1:11" x14ac:dyDescent="0.25">
      <c r="A547" s="16" t="s">
        <v>12</v>
      </c>
      <c r="B547" s="1" t="s">
        <v>187</v>
      </c>
      <c r="C547" s="1">
        <v>1964</v>
      </c>
      <c r="D547" s="1" t="s">
        <v>340</v>
      </c>
      <c r="E547" s="1" t="s">
        <v>343</v>
      </c>
      <c r="F547" s="1" t="s">
        <v>350</v>
      </c>
      <c r="G547" s="1">
        <v>27</v>
      </c>
      <c r="H547" s="1">
        <v>4</v>
      </c>
      <c r="I547" s="1" t="s">
        <v>351</v>
      </c>
      <c r="J547" s="1">
        <v>4</v>
      </c>
      <c r="K547" s="17" t="str">
        <f t="shared" si="8"/>
        <v>Feb</v>
      </c>
    </row>
    <row r="548" spans="1:11" x14ac:dyDescent="0.25">
      <c r="A548" s="16" t="s">
        <v>11</v>
      </c>
      <c r="B548" s="4" t="s">
        <v>286</v>
      </c>
      <c r="C548" s="1">
        <v>1620</v>
      </c>
      <c r="D548" s="1" t="s">
        <v>341</v>
      </c>
      <c r="E548" s="1" t="s">
        <v>346</v>
      </c>
      <c r="F548" s="1" t="s">
        <v>349</v>
      </c>
      <c r="G548" s="1">
        <v>45</v>
      </c>
      <c r="H548" s="1">
        <v>10</v>
      </c>
      <c r="I548" s="1" t="s">
        <v>352</v>
      </c>
      <c r="J548" s="1">
        <v>0</v>
      </c>
      <c r="K548" s="17" t="str">
        <f t="shared" si="8"/>
        <v>Jun</v>
      </c>
    </row>
    <row r="549" spans="1:11" x14ac:dyDescent="0.25">
      <c r="A549" s="16" t="s">
        <v>12</v>
      </c>
      <c r="B549" s="1" t="s">
        <v>298</v>
      </c>
      <c r="C549" s="1">
        <v>1520</v>
      </c>
      <c r="D549" s="1" t="s">
        <v>341</v>
      </c>
      <c r="E549" s="1" t="s">
        <v>346</v>
      </c>
      <c r="F549" s="1" t="s">
        <v>350</v>
      </c>
      <c r="G549" s="1">
        <v>23</v>
      </c>
      <c r="H549" s="1">
        <v>1</v>
      </c>
      <c r="I549" s="1" t="s">
        <v>351</v>
      </c>
      <c r="J549" s="1">
        <v>5</v>
      </c>
      <c r="K549" s="17" t="str">
        <f t="shared" si="8"/>
        <v>Nov</v>
      </c>
    </row>
    <row r="550" spans="1:11" x14ac:dyDescent="0.25">
      <c r="A550" s="16" t="s">
        <v>11</v>
      </c>
      <c r="B550" s="4" t="s">
        <v>90</v>
      </c>
      <c r="C550" s="1">
        <v>1496</v>
      </c>
      <c r="D550" s="1" t="s">
        <v>340</v>
      </c>
      <c r="E550" s="1" t="s">
        <v>345</v>
      </c>
      <c r="F550" s="1" t="s">
        <v>349</v>
      </c>
      <c r="G550" s="1">
        <v>14</v>
      </c>
      <c r="H550" s="1">
        <v>7</v>
      </c>
      <c r="I550" s="1" t="s">
        <v>354</v>
      </c>
      <c r="J550" s="1">
        <v>1</v>
      </c>
      <c r="K550" s="17" t="str">
        <f t="shared" si="8"/>
        <v>May</v>
      </c>
    </row>
    <row r="551" spans="1:11" x14ac:dyDescent="0.25">
      <c r="A551" s="16" t="s">
        <v>13</v>
      </c>
      <c r="B551" s="1" t="s">
        <v>29</v>
      </c>
      <c r="C551" s="1">
        <v>1934</v>
      </c>
      <c r="D551" s="1" t="s">
        <v>341</v>
      </c>
      <c r="E551" s="1" t="s">
        <v>345</v>
      </c>
      <c r="F551" s="1" t="s">
        <v>350</v>
      </c>
      <c r="G551" s="1">
        <v>21</v>
      </c>
      <c r="H551" s="1">
        <v>10</v>
      </c>
      <c r="I551" s="1" t="s">
        <v>351</v>
      </c>
      <c r="J551" s="1">
        <v>4</v>
      </c>
      <c r="K551" s="17" t="str">
        <f t="shared" si="8"/>
        <v>Aug</v>
      </c>
    </row>
    <row r="552" spans="1:11" x14ac:dyDescent="0.25">
      <c r="A552" s="16" t="s">
        <v>10</v>
      </c>
      <c r="B552" s="1" t="s">
        <v>299</v>
      </c>
      <c r="C552" s="1">
        <v>1450</v>
      </c>
      <c r="D552" s="1" t="s">
        <v>340</v>
      </c>
      <c r="E552" s="1" t="s">
        <v>345</v>
      </c>
      <c r="F552" s="1" t="s">
        <v>350</v>
      </c>
      <c r="G552" s="1">
        <v>29</v>
      </c>
      <c r="H552" s="1">
        <v>1</v>
      </c>
      <c r="I552" s="1" t="s">
        <v>352</v>
      </c>
      <c r="J552" s="1">
        <v>5</v>
      </c>
      <c r="K552" s="17" t="str">
        <f t="shared" si="8"/>
        <v>Jun</v>
      </c>
    </row>
    <row r="553" spans="1:11" x14ac:dyDescent="0.25">
      <c r="A553" s="16" t="s">
        <v>12</v>
      </c>
      <c r="B553" s="1" t="s">
        <v>36</v>
      </c>
      <c r="C553" s="1">
        <v>788</v>
      </c>
      <c r="D553" s="1" t="s">
        <v>340</v>
      </c>
      <c r="E553" s="1" t="s">
        <v>344</v>
      </c>
      <c r="F553" s="1" t="s">
        <v>347</v>
      </c>
      <c r="G553" s="1">
        <v>3</v>
      </c>
      <c r="H553" s="1">
        <v>2</v>
      </c>
      <c r="I553" s="1" t="s">
        <v>353</v>
      </c>
      <c r="J553" s="1">
        <v>4</v>
      </c>
      <c r="K553" s="17" t="str">
        <f t="shared" si="8"/>
        <v>Jan</v>
      </c>
    </row>
    <row r="554" spans="1:11" x14ac:dyDescent="0.25">
      <c r="A554" s="16" t="s">
        <v>11</v>
      </c>
      <c r="B554" s="1" t="s">
        <v>87</v>
      </c>
      <c r="C554" s="1">
        <v>1777</v>
      </c>
      <c r="D554" s="1" t="s">
        <v>340</v>
      </c>
      <c r="E554" s="1" t="s">
        <v>345</v>
      </c>
      <c r="F554" s="1" t="s">
        <v>350</v>
      </c>
      <c r="G554" s="1">
        <v>12</v>
      </c>
      <c r="H554" s="1">
        <v>9</v>
      </c>
      <c r="I554" s="1" t="s">
        <v>352</v>
      </c>
      <c r="J554" s="1">
        <v>5</v>
      </c>
      <c r="K554" s="17" t="str">
        <f t="shared" si="8"/>
        <v>Jan</v>
      </c>
    </row>
    <row r="555" spans="1:11" x14ac:dyDescent="0.25">
      <c r="A555" s="16" t="s">
        <v>12</v>
      </c>
      <c r="B555" s="1" t="s">
        <v>300</v>
      </c>
      <c r="C555" s="1">
        <v>695</v>
      </c>
      <c r="D555" s="1" t="s">
        <v>340</v>
      </c>
      <c r="E555" s="1" t="s">
        <v>345</v>
      </c>
      <c r="F555" s="1" t="s">
        <v>347</v>
      </c>
      <c r="G555" s="1">
        <v>22</v>
      </c>
      <c r="H555" s="1">
        <v>0</v>
      </c>
      <c r="I555" s="1" t="s">
        <v>351</v>
      </c>
      <c r="J555" s="1">
        <v>0</v>
      </c>
      <c r="K555" s="17" t="str">
        <f t="shared" si="8"/>
        <v>Jun</v>
      </c>
    </row>
    <row r="556" spans="1:11" x14ac:dyDescent="0.25">
      <c r="A556" s="16" t="s">
        <v>11</v>
      </c>
      <c r="B556" s="1" t="s">
        <v>86</v>
      </c>
      <c r="C556" s="1">
        <v>1097</v>
      </c>
      <c r="D556" s="1" t="s">
        <v>341</v>
      </c>
      <c r="E556" s="1" t="s">
        <v>346</v>
      </c>
      <c r="F556" s="1" t="s">
        <v>348</v>
      </c>
      <c r="G556" s="1">
        <v>7</v>
      </c>
      <c r="H556" s="1">
        <v>10</v>
      </c>
      <c r="I556" s="1" t="s">
        <v>351</v>
      </c>
      <c r="J556" s="1">
        <v>3</v>
      </c>
      <c r="K556" s="17" t="str">
        <f t="shared" si="8"/>
        <v>Sep</v>
      </c>
    </row>
    <row r="557" spans="1:11" x14ac:dyDescent="0.25">
      <c r="A557" s="16" t="s">
        <v>12</v>
      </c>
      <c r="B557" s="1" t="s">
        <v>301</v>
      </c>
      <c r="C557" s="1">
        <v>1016</v>
      </c>
      <c r="D557" s="1" t="s">
        <v>340</v>
      </c>
      <c r="E557" s="1" t="s">
        <v>345</v>
      </c>
      <c r="F557" s="1" t="s">
        <v>348</v>
      </c>
      <c r="G557" s="1">
        <v>17</v>
      </c>
      <c r="H557" s="1">
        <v>1</v>
      </c>
      <c r="I557" s="1" t="s">
        <v>352</v>
      </c>
      <c r="J557" s="1">
        <v>1</v>
      </c>
      <c r="K557" s="17" t="str">
        <f t="shared" si="8"/>
        <v>Jan</v>
      </c>
    </row>
    <row r="558" spans="1:11" x14ac:dyDescent="0.25">
      <c r="A558" s="16" t="s">
        <v>11</v>
      </c>
      <c r="B558" s="1" t="s">
        <v>302</v>
      </c>
      <c r="C558" s="1">
        <v>1364</v>
      </c>
      <c r="D558" s="1" t="s">
        <v>340</v>
      </c>
      <c r="E558" s="1" t="s">
        <v>344</v>
      </c>
      <c r="F558" s="1" t="s">
        <v>347</v>
      </c>
      <c r="G558" s="1">
        <v>11</v>
      </c>
      <c r="H558" s="1">
        <v>6</v>
      </c>
      <c r="I558" s="1" t="s">
        <v>351</v>
      </c>
      <c r="J558" s="1">
        <v>2</v>
      </c>
      <c r="K558" s="17" t="str">
        <f t="shared" si="8"/>
        <v>May</v>
      </c>
    </row>
    <row r="559" spans="1:11" x14ac:dyDescent="0.25">
      <c r="A559" s="16" t="s">
        <v>11</v>
      </c>
      <c r="B559" s="1" t="s">
        <v>29</v>
      </c>
      <c r="C559" s="1">
        <v>1641</v>
      </c>
      <c r="D559" s="1" t="s">
        <v>341</v>
      </c>
      <c r="E559" s="1" t="s">
        <v>344</v>
      </c>
      <c r="F559" s="1" t="s">
        <v>347</v>
      </c>
      <c r="G559" s="1">
        <v>30</v>
      </c>
      <c r="H559" s="1">
        <v>9</v>
      </c>
      <c r="I559" s="1" t="s">
        <v>354</v>
      </c>
      <c r="J559" s="1">
        <v>2</v>
      </c>
      <c r="K559" s="17" t="str">
        <f t="shared" si="8"/>
        <v>Aug</v>
      </c>
    </row>
    <row r="560" spans="1:11" x14ac:dyDescent="0.25">
      <c r="A560" s="16" t="s">
        <v>13</v>
      </c>
      <c r="B560" s="4" t="s">
        <v>160</v>
      </c>
      <c r="C560" s="1">
        <v>1305</v>
      </c>
      <c r="D560" s="1" t="s">
        <v>341</v>
      </c>
      <c r="E560" s="1" t="s">
        <v>346</v>
      </c>
      <c r="F560" s="1" t="s">
        <v>349</v>
      </c>
      <c r="G560" s="1">
        <v>13</v>
      </c>
      <c r="H560" s="1">
        <v>1</v>
      </c>
      <c r="I560" s="1" t="s">
        <v>352</v>
      </c>
      <c r="J560" s="1">
        <v>0</v>
      </c>
      <c r="K560" s="17" t="str">
        <f t="shared" si="8"/>
        <v>Dec</v>
      </c>
    </row>
    <row r="561" spans="1:11" x14ac:dyDescent="0.25">
      <c r="A561" s="16" t="s">
        <v>11</v>
      </c>
      <c r="B561" s="4" t="s">
        <v>219</v>
      </c>
      <c r="C561" s="1">
        <v>1682</v>
      </c>
      <c r="D561" s="1" t="s">
        <v>342</v>
      </c>
      <c r="E561" s="1" t="s">
        <v>345</v>
      </c>
      <c r="F561" s="1" t="s">
        <v>349</v>
      </c>
      <c r="G561" s="1">
        <v>33</v>
      </c>
      <c r="H561" s="1">
        <v>5</v>
      </c>
      <c r="I561" s="1" t="s">
        <v>353</v>
      </c>
      <c r="J561" s="1">
        <v>1</v>
      </c>
      <c r="K561" s="17" t="str">
        <f t="shared" si="8"/>
        <v>Oct</v>
      </c>
    </row>
    <row r="562" spans="1:11" x14ac:dyDescent="0.25">
      <c r="A562" s="16" t="s">
        <v>13</v>
      </c>
      <c r="B562" s="4" t="s">
        <v>214</v>
      </c>
      <c r="C562" s="1">
        <v>1314</v>
      </c>
      <c r="D562" s="1" t="s">
        <v>341</v>
      </c>
      <c r="E562" s="1" t="s">
        <v>345</v>
      </c>
      <c r="F562" s="1" t="s">
        <v>349</v>
      </c>
      <c r="G562" s="1">
        <v>17</v>
      </c>
      <c r="H562" s="1">
        <v>2</v>
      </c>
      <c r="I562" s="1" t="s">
        <v>352</v>
      </c>
      <c r="J562" s="1">
        <v>1</v>
      </c>
      <c r="K562" s="17" t="str">
        <f t="shared" si="8"/>
        <v>Aug</v>
      </c>
    </row>
    <row r="563" spans="1:11" x14ac:dyDescent="0.25">
      <c r="A563" s="16" t="s">
        <v>11</v>
      </c>
      <c r="B563" s="1" t="s">
        <v>270</v>
      </c>
      <c r="C563" s="1">
        <v>727</v>
      </c>
      <c r="D563" s="1" t="s">
        <v>341</v>
      </c>
      <c r="E563" s="1" t="s">
        <v>344</v>
      </c>
      <c r="F563" s="1" t="s">
        <v>348</v>
      </c>
      <c r="G563" s="1">
        <v>33</v>
      </c>
      <c r="H563" s="1">
        <v>3</v>
      </c>
      <c r="I563" s="1" t="s">
        <v>354</v>
      </c>
      <c r="J563" s="1">
        <v>0</v>
      </c>
      <c r="K563" s="17" t="str">
        <f t="shared" si="8"/>
        <v>May</v>
      </c>
    </row>
    <row r="564" spans="1:11" x14ac:dyDescent="0.25">
      <c r="A564" s="16" t="s">
        <v>10</v>
      </c>
      <c r="B564" s="4" t="s">
        <v>209</v>
      </c>
      <c r="C564" s="1">
        <v>715</v>
      </c>
      <c r="D564" s="1" t="s">
        <v>342</v>
      </c>
      <c r="E564" s="1" t="s">
        <v>345</v>
      </c>
      <c r="F564" s="1" t="s">
        <v>349</v>
      </c>
      <c r="G564" s="1">
        <v>10</v>
      </c>
      <c r="H564" s="1">
        <v>10</v>
      </c>
      <c r="I564" s="1" t="s">
        <v>354</v>
      </c>
      <c r="J564" s="1">
        <v>1</v>
      </c>
      <c r="K564" s="17" t="str">
        <f t="shared" si="8"/>
        <v>Sep</v>
      </c>
    </row>
    <row r="565" spans="1:11" x14ac:dyDescent="0.25">
      <c r="A565" s="16" t="s">
        <v>10</v>
      </c>
      <c r="B565" s="1" t="s">
        <v>303</v>
      </c>
      <c r="C565" s="1">
        <v>1447</v>
      </c>
      <c r="D565" s="1" t="s">
        <v>341</v>
      </c>
      <c r="E565" s="1" t="s">
        <v>345</v>
      </c>
      <c r="F565" s="1" t="s">
        <v>350</v>
      </c>
      <c r="G565" s="1">
        <v>40</v>
      </c>
      <c r="H565" s="1">
        <v>7</v>
      </c>
      <c r="I565" s="1" t="s">
        <v>354</v>
      </c>
      <c r="J565" s="1">
        <v>3</v>
      </c>
      <c r="K565" s="17" t="str">
        <f t="shared" si="8"/>
        <v>Feb</v>
      </c>
    </row>
    <row r="566" spans="1:11" x14ac:dyDescent="0.25">
      <c r="A566" s="16" t="s">
        <v>10</v>
      </c>
      <c r="B566" s="1" t="s">
        <v>291</v>
      </c>
      <c r="C566" s="1">
        <v>514</v>
      </c>
      <c r="D566" s="1" t="s">
        <v>341</v>
      </c>
      <c r="E566" s="1" t="s">
        <v>345</v>
      </c>
      <c r="F566" s="1" t="s">
        <v>350</v>
      </c>
      <c r="G566" s="1">
        <v>11</v>
      </c>
      <c r="H566" s="1">
        <v>2</v>
      </c>
      <c r="I566" s="1" t="s">
        <v>354</v>
      </c>
      <c r="J566" s="1">
        <v>0</v>
      </c>
      <c r="K566" s="17" t="str">
        <f t="shared" si="8"/>
        <v>Dec</v>
      </c>
    </row>
    <row r="567" spans="1:11" x14ac:dyDescent="0.25">
      <c r="A567" s="16" t="s">
        <v>11</v>
      </c>
      <c r="B567" s="4" t="s">
        <v>167</v>
      </c>
      <c r="C567" s="1">
        <v>1680</v>
      </c>
      <c r="D567" s="1" t="s">
        <v>341</v>
      </c>
      <c r="E567" s="1" t="s">
        <v>343</v>
      </c>
      <c r="F567" s="1" t="s">
        <v>349</v>
      </c>
      <c r="G567" s="1">
        <v>48</v>
      </c>
      <c r="H567" s="1">
        <v>9</v>
      </c>
      <c r="I567" s="1" t="s">
        <v>354</v>
      </c>
      <c r="J567" s="1">
        <v>3</v>
      </c>
      <c r="K567" s="17" t="str">
        <f t="shared" si="8"/>
        <v>Jul</v>
      </c>
    </row>
    <row r="568" spans="1:11" x14ac:dyDescent="0.25">
      <c r="A568" s="16" t="s">
        <v>13</v>
      </c>
      <c r="B568" s="1" t="s">
        <v>191</v>
      </c>
      <c r="C568" s="1">
        <v>1784</v>
      </c>
      <c r="D568" s="1" t="s">
        <v>341</v>
      </c>
      <c r="E568" s="1" t="s">
        <v>346</v>
      </c>
      <c r="F568" s="1" t="s">
        <v>350</v>
      </c>
      <c r="G568" s="1">
        <v>14</v>
      </c>
      <c r="H568" s="1">
        <v>5</v>
      </c>
      <c r="I568" s="1" t="s">
        <v>353</v>
      </c>
      <c r="J568" s="1">
        <v>1</v>
      </c>
      <c r="K568" s="17" t="str">
        <f t="shared" si="8"/>
        <v>Aug</v>
      </c>
    </row>
    <row r="569" spans="1:11" x14ac:dyDescent="0.25">
      <c r="A569" s="16" t="s">
        <v>13</v>
      </c>
      <c r="B569" s="1" t="s">
        <v>304</v>
      </c>
      <c r="C569" s="1">
        <v>1680</v>
      </c>
      <c r="D569" s="1" t="s">
        <v>342</v>
      </c>
      <c r="E569" s="1" t="s">
        <v>343</v>
      </c>
      <c r="F569" s="1" t="s">
        <v>348</v>
      </c>
      <c r="G569" s="1">
        <v>30</v>
      </c>
      <c r="H569" s="1">
        <v>0</v>
      </c>
      <c r="I569" s="1" t="s">
        <v>351</v>
      </c>
      <c r="J569" s="1">
        <v>0</v>
      </c>
      <c r="K569" s="17" t="str">
        <f t="shared" si="8"/>
        <v>May</v>
      </c>
    </row>
    <row r="570" spans="1:11" x14ac:dyDescent="0.25">
      <c r="A570" s="16" t="s">
        <v>11</v>
      </c>
      <c r="B570" s="1" t="s">
        <v>178</v>
      </c>
      <c r="C570" s="1">
        <v>546</v>
      </c>
      <c r="D570" s="1" t="s">
        <v>341</v>
      </c>
      <c r="E570" s="1" t="s">
        <v>346</v>
      </c>
      <c r="F570" s="1" t="s">
        <v>350</v>
      </c>
      <c r="G570" s="1">
        <v>48</v>
      </c>
      <c r="H570" s="1">
        <v>6</v>
      </c>
      <c r="I570" s="1" t="s">
        <v>354</v>
      </c>
      <c r="J570" s="1">
        <v>1</v>
      </c>
      <c r="K570" s="17" t="str">
        <f t="shared" si="8"/>
        <v>Apr</v>
      </c>
    </row>
    <row r="571" spans="1:11" x14ac:dyDescent="0.25">
      <c r="A571" s="16" t="s">
        <v>10</v>
      </c>
      <c r="B571" s="1" t="s">
        <v>305</v>
      </c>
      <c r="C571" s="1">
        <v>823</v>
      </c>
      <c r="D571" s="1" t="s">
        <v>341</v>
      </c>
      <c r="E571" s="1" t="s">
        <v>344</v>
      </c>
      <c r="F571" s="1" t="s">
        <v>348</v>
      </c>
      <c r="G571" s="1">
        <v>28</v>
      </c>
      <c r="H571" s="1">
        <v>7</v>
      </c>
      <c r="I571" s="1" t="s">
        <v>354</v>
      </c>
      <c r="J571" s="1">
        <v>0</v>
      </c>
      <c r="K571" s="17" t="str">
        <f t="shared" si="8"/>
        <v>Jun</v>
      </c>
    </row>
    <row r="572" spans="1:11" x14ac:dyDescent="0.25">
      <c r="A572" s="16" t="s">
        <v>10</v>
      </c>
      <c r="B572" s="1" t="s">
        <v>212</v>
      </c>
      <c r="C572" s="1">
        <v>1343</v>
      </c>
      <c r="D572" s="1" t="s">
        <v>342</v>
      </c>
      <c r="E572" s="1" t="s">
        <v>345</v>
      </c>
      <c r="F572" s="1" t="s">
        <v>347</v>
      </c>
      <c r="G572" s="1">
        <v>25</v>
      </c>
      <c r="H572" s="1">
        <v>10</v>
      </c>
      <c r="I572" s="1" t="s">
        <v>352</v>
      </c>
      <c r="J572" s="1">
        <v>1</v>
      </c>
      <c r="K572" s="17" t="str">
        <f t="shared" si="8"/>
        <v>Oct</v>
      </c>
    </row>
    <row r="573" spans="1:11" x14ac:dyDescent="0.25">
      <c r="A573" s="16" t="s">
        <v>13</v>
      </c>
      <c r="B573" s="1" t="s">
        <v>306</v>
      </c>
      <c r="C573" s="1">
        <v>629</v>
      </c>
      <c r="D573" s="1" t="s">
        <v>340</v>
      </c>
      <c r="E573" s="1" t="s">
        <v>346</v>
      </c>
      <c r="F573" s="1" t="s">
        <v>347</v>
      </c>
      <c r="G573" s="1">
        <v>17</v>
      </c>
      <c r="H573" s="1">
        <v>7</v>
      </c>
      <c r="I573" s="1" t="s">
        <v>353</v>
      </c>
      <c r="J573" s="1">
        <v>3</v>
      </c>
      <c r="K573" s="17" t="str">
        <f t="shared" si="8"/>
        <v>Jul</v>
      </c>
    </row>
    <row r="574" spans="1:11" x14ac:dyDescent="0.25">
      <c r="A574" s="16" t="s">
        <v>10</v>
      </c>
      <c r="B574" s="1" t="s">
        <v>307</v>
      </c>
      <c r="C574" s="1">
        <v>1934</v>
      </c>
      <c r="D574" s="1" t="s">
        <v>342</v>
      </c>
      <c r="E574" s="1" t="s">
        <v>343</v>
      </c>
      <c r="F574" s="1" t="s">
        <v>347</v>
      </c>
      <c r="G574" s="1">
        <v>31</v>
      </c>
      <c r="H574" s="1">
        <v>2</v>
      </c>
      <c r="I574" s="1" t="s">
        <v>353</v>
      </c>
      <c r="J574" s="1">
        <v>3</v>
      </c>
      <c r="K574" s="17" t="str">
        <f t="shared" si="8"/>
        <v>May</v>
      </c>
    </row>
    <row r="575" spans="1:11" x14ac:dyDescent="0.25">
      <c r="A575" s="16" t="s">
        <v>12</v>
      </c>
      <c r="B575" s="1" t="s">
        <v>262</v>
      </c>
      <c r="C575" s="1">
        <v>594</v>
      </c>
      <c r="D575" s="1" t="s">
        <v>340</v>
      </c>
      <c r="E575" s="1" t="s">
        <v>345</v>
      </c>
      <c r="F575" s="1" t="s">
        <v>347</v>
      </c>
      <c r="G575" s="1">
        <v>21</v>
      </c>
      <c r="H575" s="1">
        <v>9</v>
      </c>
      <c r="I575" s="1" t="s">
        <v>351</v>
      </c>
      <c r="J575" s="1">
        <v>1</v>
      </c>
      <c r="K575" s="17" t="str">
        <f t="shared" si="8"/>
        <v>Jun</v>
      </c>
    </row>
    <row r="576" spans="1:11" x14ac:dyDescent="0.25">
      <c r="A576" s="16" t="s">
        <v>13</v>
      </c>
      <c r="B576" s="1" t="s">
        <v>159</v>
      </c>
      <c r="C576" s="1">
        <v>1126</v>
      </c>
      <c r="D576" s="1" t="s">
        <v>342</v>
      </c>
      <c r="E576" s="1" t="s">
        <v>344</v>
      </c>
      <c r="F576" s="1" t="s">
        <v>350</v>
      </c>
      <c r="G576" s="1">
        <v>37</v>
      </c>
      <c r="H576" s="1">
        <v>0</v>
      </c>
      <c r="I576" s="1" t="s">
        <v>353</v>
      </c>
      <c r="J576" s="1">
        <v>0</v>
      </c>
      <c r="K576" s="17" t="str">
        <f t="shared" si="8"/>
        <v>Feb</v>
      </c>
    </row>
    <row r="577" spans="1:11" x14ac:dyDescent="0.25">
      <c r="A577" s="16" t="s">
        <v>10</v>
      </c>
      <c r="B577" s="4" t="s">
        <v>280</v>
      </c>
      <c r="C577" s="1">
        <v>1254</v>
      </c>
      <c r="D577" s="1" t="s">
        <v>342</v>
      </c>
      <c r="E577" s="1" t="s">
        <v>346</v>
      </c>
      <c r="F577" s="1" t="s">
        <v>349</v>
      </c>
      <c r="G577" s="1">
        <v>16</v>
      </c>
      <c r="H577" s="1">
        <v>8</v>
      </c>
      <c r="I577" s="1" t="s">
        <v>352</v>
      </c>
      <c r="J577" s="1">
        <v>2</v>
      </c>
      <c r="K577" s="17" t="str">
        <f t="shared" si="8"/>
        <v>Nov</v>
      </c>
    </row>
    <row r="578" spans="1:11" x14ac:dyDescent="0.25">
      <c r="A578" s="16" t="s">
        <v>13</v>
      </c>
      <c r="B578" s="1" t="s">
        <v>295</v>
      </c>
      <c r="C578" s="1">
        <v>1815</v>
      </c>
      <c r="D578" s="1" t="s">
        <v>341</v>
      </c>
      <c r="E578" s="1" t="s">
        <v>346</v>
      </c>
      <c r="F578" s="1" t="s">
        <v>350</v>
      </c>
      <c r="G578" s="1">
        <v>22</v>
      </c>
      <c r="H578" s="1">
        <v>5</v>
      </c>
      <c r="I578" s="1" t="s">
        <v>352</v>
      </c>
      <c r="J578" s="1">
        <v>3</v>
      </c>
      <c r="K578" s="17" t="str">
        <f t="shared" si="8"/>
        <v>Aug</v>
      </c>
    </row>
    <row r="579" spans="1:11" x14ac:dyDescent="0.25">
      <c r="A579" s="16" t="s">
        <v>12</v>
      </c>
      <c r="B579" s="1" t="s">
        <v>59</v>
      </c>
      <c r="C579" s="1">
        <v>1293</v>
      </c>
      <c r="D579" s="1" t="s">
        <v>340</v>
      </c>
      <c r="E579" s="1" t="s">
        <v>346</v>
      </c>
      <c r="F579" s="1" t="s">
        <v>348</v>
      </c>
      <c r="G579" s="1">
        <v>23</v>
      </c>
      <c r="H579" s="1">
        <v>10</v>
      </c>
      <c r="I579" s="1" t="s">
        <v>351</v>
      </c>
      <c r="J579" s="1">
        <v>3</v>
      </c>
      <c r="K579" s="17" t="str">
        <f t="shared" si="8"/>
        <v>Mar</v>
      </c>
    </row>
    <row r="580" spans="1:11" x14ac:dyDescent="0.25">
      <c r="A580" s="16" t="s">
        <v>13</v>
      </c>
      <c r="B580" s="1" t="s">
        <v>191</v>
      </c>
      <c r="C580" s="1">
        <v>1806</v>
      </c>
      <c r="D580" s="1" t="s">
        <v>341</v>
      </c>
      <c r="E580" s="1" t="s">
        <v>345</v>
      </c>
      <c r="F580" s="1" t="s">
        <v>350</v>
      </c>
      <c r="G580" s="1">
        <v>49</v>
      </c>
      <c r="H580" s="1">
        <v>8</v>
      </c>
      <c r="I580" s="1" t="s">
        <v>352</v>
      </c>
      <c r="J580" s="1">
        <v>5</v>
      </c>
      <c r="K580" s="17" t="str">
        <f t="shared" ref="K580:K643" si="9">TEXT(B580,"mmm")</f>
        <v>Aug</v>
      </c>
    </row>
    <row r="581" spans="1:11" x14ac:dyDescent="0.25">
      <c r="A581" s="16" t="s">
        <v>13</v>
      </c>
      <c r="B581" s="1" t="s">
        <v>308</v>
      </c>
      <c r="C581" s="1">
        <v>568</v>
      </c>
      <c r="D581" s="1" t="s">
        <v>340</v>
      </c>
      <c r="E581" s="1" t="s">
        <v>343</v>
      </c>
      <c r="F581" s="1" t="s">
        <v>350</v>
      </c>
      <c r="G581" s="1">
        <v>7</v>
      </c>
      <c r="H581" s="1">
        <v>6</v>
      </c>
      <c r="I581" s="1" t="s">
        <v>354</v>
      </c>
      <c r="J581" s="1">
        <v>2</v>
      </c>
      <c r="K581" s="17" t="str">
        <f t="shared" si="9"/>
        <v>Aug</v>
      </c>
    </row>
    <row r="582" spans="1:11" x14ac:dyDescent="0.25">
      <c r="A582" s="16" t="s">
        <v>13</v>
      </c>
      <c r="B582" s="1" t="s">
        <v>117</v>
      </c>
      <c r="C582" s="1">
        <v>510</v>
      </c>
      <c r="D582" s="1" t="s">
        <v>342</v>
      </c>
      <c r="E582" s="1" t="s">
        <v>343</v>
      </c>
      <c r="F582" s="1" t="s">
        <v>348</v>
      </c>
      <c r="G582" s="1">
        <v>40</v>
      </c>
      <c r="H582" s="1">
        <v>0</v>
      </c>
      <c r="I582" s="1" t="s">
        <v>354</v>
      </c>
      <c r="J582" s="1">
        <v>1</v>
      </c>
      <c r="K582" s="17" t="str">
        <f t="shared" si="9"/>
        <v>Sep</v>
      </c>
    </row>
    <row r="583" spans="1:11" x14ac:dyDescent="0.25">
      <c r="A583" s="16" t="s">
        <v>13</v>
      </c>
      <c r="B583" s="1" t="s">
        <v>212</v>
      </c>
      <c r="C583" s="1">
        <v>1777</v>
      </c>
      <c r="D583" s="1" t="s">
        <v>342</v>
      </c>
      <c r="E583" s="1" t="s">
        <v>346</v>
      </c>
      <c r="F583" s="1" t="s">
        <v>347</v>
      </c>
      <c r="G583" s="1">
        <v>5</v>
      </c>
      <c r="H583" s="1">
        <v>0</v>
      </c>
      <c r="I583" s="1" t="s">
        <v>352</v>
      </c>
      <c r="J583" s="1">
        <v>0</v>
      </c>
      <c r="K583" s="17" t="str">
        <f t="shared" si="9"/>
        <v>Oct</v>
      </c>
    </row>
    <row r="584" spans="1:11" x14ac:dyDescent="0.25">
      <c r="A584" s="16" t="s">
        <v>12</v>
      </c>
      <c r="B584" s="1" t="s">
        <v>223</v>
      </c>
      <c r="C584" s="1">
        <v>1371</v>
      </c>
      <c r="D584" s="1" t="s">
        <v>340</v>
      </c>
      <c r="E584" s="1" t="s">
        <v>344</v>
      </c>
      <c r="F584" s="1" t="s">
        <v>347</v>
      </c>
      <c r="G584" s="1">
        <v>4</v>
      </c>
      <c r="H584" s="1">
        <v>5</v>
      </c>
      <c r="I584" s="1" t="s">
        <v>351</v>
      </c>
      <c r="J584" s="1">
        <v>5</v>
      </c>
      <c r="K584" s="17" t="str">
        <f t="shared" si="9"/>
        <v>Jul</v>
      </c>
    </row>
    <row r="585" spans="1:11" x14ac:dyDescent="0.25">
      <c r="A585" s="16" t="s">
        <v>11</v>
      </c>
      <c r="B585" s="1" t="s">
        <v>255</v>
      </c>
      <c r="C585" s="1">
        <v>1049</v>
      </c>
      <c r="D585" s="1" t="s">
        <v>341</v>
      </c>
      <c r="E585" s="1" t="s">
        <v>344</v>
      </c>
      <c r="F585" s="1" t="s">
        <v>347</v>
      </c>
      <c r="G585" s="1">
        <v>43</v>
      </c>
      <c r="H585" s="1">
        <v>4</v>
      </c>
      <c r="I585" s="1" t="s">
        <v>353</v>
      </c>
      <c r="J585" s="1">
        <v>1</v>
      </c>
      <c r="K585" s="17" t="str">
        <f t="shared" si="9"/>
        <v>Oct</v>
      </c>
    </row>
    <row r="586" spans="1:11" x14ac:dyDescent="0.25">
      <c r="A586" s="16" t="s">
        <v>13</v>
      </c>
      <c r="B586" s="4" t="s">
        <v>309</v>
      </c>
      <c r="C586" s="1">
        <v>1657</v>
      </c>
      <c r="D586" s="1" t="s">
        <v>341</v>
      </c>
      <c r="E586" s="1" t="s">
        <v>343</v>
      </c>
      <c r="F586" s="1" t="s">
        <v>349</v>
      </c>
      <c r="G586" s="1">
        <v>28</v>
      </c>
      <c r="H586" s="1">
        <v>8</v>
      </c>
      <c r="I586" s="1" t="s">
        <v>351</v>
      </c>
      <c r="J586" s="1">
        <v>4</v>
      </c>
      <c r="K586" s="17" t="str">
        <f t="shared" si="9"/>
        <v>Sep</v>
      </c>
    </row>
    <row r="587" spans="1:11" x14ac:dyDescent="0.25">
      <c r="A587" s="16" t="s">
        <v>13</v>
      </c>
      <c r="B587" s="1" t="s">
        <v>299</v>
      </c>
      <c r="C587" s="1">
        <v>1211</v>
      </c>
      <c r="D587" s="1" t="s">
        <v>341</v>
      </c>
      <c r="E587" s="1" t="s">
        <v>344</v>
      </c>
      <c r="F587" s="1" t="s">
        <v>348</v>
      </c>
      <c r="G587" s="1">
        <v>27</v>
      </c>
      <c r="H587" s="1">
        <v>1</v>
      </c>
      <c r="I587" s="1" t="s">
        <v>353</v>
      </c>
      <c r="J587" s="1">
        <v>3</v>
      </c>
      <c r="K587" s="17" t="str">
        <f t="shared" si="9"/>
        <v>Jun</v>
      </c>
    </row>
    <row r="588" spans="1:11" x14ac:dyDescent="0.25">
      <c r="A588" s="16" t="s">
        <v>10</v>
      </c>
      <c r="B588" s="1" t="s">
        <v>310</v>
      </c>
      <c r="C588" s="1">
        <v>522</v>
      </c>
      <c r="D588" s="1" t="s">
        <v>341</v>
      </c>
      <c r="E588" s="1" t="s">
        <v>343</v>
      </c>
      <c r="F588" s="1" t="s">
        <v>348</v>
      </c>
      <c r="G588" s="1">
        <v>10</v>
      </c>
      <c r="H588" s="1">
        <v>7</v>
      </c>
      <c r="I588" s="1" t="s">
        <v>352</v>
      </c>
      <c r="J588" s="1">
        <v>4</v>
      </c>
      <c r="K588" s="17" t="str">
        <f t="shared" si="9"/>
        <v>Dec</v>
      </c>
    </row>
    <row r="589" spans="1:11" x14ac:dyDescent="0.25">
      <c r="A589" s="16" t="s">
        <v>13</v>
      </c>
      <c r="B589" s="1" t="s">
        <v>264</v>
      </c>
      <c r="C589" s="1">
        <v>1314</v>
      </c>
      <c r="D589" s="1" t="s">
        <v>342</v>
      </c>
      <c r="E589" s="1" t="s">
        <v>346</v>
      </c>
      <c r="F589" s="1" t="s">
        <v>350</v>
      </c>
      <c r="G589" s="1">
        <v>0</v>
      </c>
      <c r="H589" s="1">
        <v>10</v>
      </c>
      <c r="I589" s="1" t="s">
        <v>352</v>
      </c>
      <c r="J589" s="1">
        <v>3</v>
      </c>
      <c r="K589" s="17" t="str">
        <f t="shared" si="9"/>
        <v>Jun</v>
      </c>
    </row>
    <row r="590" spans="1:11" x14ac:dyDescent="0.25">
      <c r="A590" s="16" t="s">
        <v>10</v>
      </c>
      <c r="B590" s="4" t="s">
        <v>156</v>
      </c>
      <c r="C590" s="1">
        <v>845</v>
      </c>
      <c r="D590" s="1" t="s">
        <v>342</v>
      </c>
      <c r="E590" s="1" t="s">
        <v>343</v>
      </c>
      <c r="F590" s="1" t="s">
        <v>349</v>
      </c>
      <c r="G590" s="1">
        <v>42</v>
      </c>
      <c r="H590" s="1">
        <v>4</v>
      </c>
      <c r="I590" s="1" t="s">
        <v>354</v>
      </c>
      <c r="J590" s="1">
        <v>3</v>
      </c>
      <c r="K590" s="17" t="str">
        <f t="shared" si="9"/>
        <v>Feb</v>
      </c>
    </row>
    <row r="591" spans="1:11" x14ac:dyDescent="0.25">
      <c r="A591" s="16" t="s">
        <v>11</v>
      </c>
      <c r="B591" s="1" t="s">
        <v>147</v>
      </c>
      <c r="C591" s="1">
        <v>801</v>
      </c>
      <c r="D591" s="1" t="s">
        <v>342</v>
      </c>
      <c r="E591" s="1" t="s">
        <v>343</v>
      </c>
      <c r="F591" s="1" t="s">
        <v>347</v>
      </c>
      <c r="G591" s="1">
        <v>18</v>
      </c>
      <c r="H591" s="1">
        <v>1</v>
      </c>
      <c r="I591" s="1" t="s">
        <v>353</v>
      </c>
      <c r="J591" s="1">
        <v>4</v>
      </c>
      <c r="K591" s="17" t="str">
        <f t="shared" si="9"/>
        <v>Nov</v>
      </c>
    </row>
    <row r="592" spans="1:11" x14ac:dyDescent="0.25">
      <c r="A592" s="16" t="s">
        <v>12</v>
      </c>
      <c r="B592" s="4" t="s">
        <v>236</v>
      </c>
      <c r="C592" s="1">
        <v>862</v>
      </c>
      <c r="D592" s="1" t="s">
        <v>342</v>
      </c>
      <c r="E592" s="1" t="s">
        <v>346</v>
      </c>
      <c r="F592" s="1" t="s">
        <v>349</v>
      </c>
      <c r="G592" s="1">
        <v>8</v>
      </c>
      <c r="H592" s="1">
        <v>9</v>
      </c>
      <c r="I592" s="1" t="s">
        <v>351</v>
      </c>
      <c r="J592" s="1">
        <v>4</v>
      </c>
      <c r="K592" s="17" t="str">
        <f t="shared" si="9"/>
        <v>Jan</v>
      </c>
    </row>
    <row r="593" spans="1:11" x14ac:dyDescent="0.25">
      <c r="A593" s="16" t="s">
        <v>12</v>
      </c>
      <c r="B593" s="1" t="s">
        <v>80</v>
      </c>
      <c r="C593" s="1">
        <v>895</v>
      </c>
      <c r="D593" s="1" t="s">
        <v>342</v>
      </c>
      <c r="E593" s="1" t="s">
        <v>344</v>
      </c>
      <c r="F593" s="1" t="s">
        <v>348</v>
      </c>
      <c r="G593" s="1">
        <v>26</v>
      </c>
      <c r="H593" s="1">
        <v>10</v>
      </c>
      <c r="I593" s="1" t="s">
        <v>352</v>
      </c>
      <c r="J593" s="1">
        <v>1</v>
      </c>
      <c r="K593" s="17" t="str">
        <f t="shared" si="9"/>
        <v>Mar</v>
      </c>
    </row>
    <row r="594" spans="1:11" x14ac:dyDescent="0.25">
      <c r="A594" s="16" t="s">
        <v>11</v>
      </c>
      <c r="B594" s="1" t="s">
        <v>311</v>
      </c>
      <c r="C594" s="1">
        <v>717</v>
      </c>
      <c r="D594" s="1" t="s">
        <v>341</v>
      </c>
      <c r="E594" s="1" t="s">
        <v>343</v>
      </c>
      <c r="F594" s="1" t="s">
        <v>348</v>
      </c>
      <c r="G594" s="1">
        <v>33</v>
      </c>
      <c r="H594" s="1">
        <v>10</v>
      </c>
      <c r="I594" s="1" t="s">
        <v>351</v>
      </c>
      <c r="J594" s="1">
        <v>5</v>
      </c>
      <c r="K594" s="17" t="str">
        <f t="shared" si="9"/>
        <v>Apr</v>
      </c>
    </row>
    <row r="595" spans="1:11" x14ac:dyDescent="0.25">
      <c r="A595" s="16" t="s">
        <v>12</v>
      </c>
      <c r="B595" s="1" t="s">
        <v>18</v>
      </c>
      <c r="C595" s="1">
        <v>640</v>
      </c>
      <c r="D595" s="1" t="s">
        <v>341</v>
      </c>
      <c r="E595" s="1" t="s">
        <v>343</v>
      </c>
      <c r="F595" s="1" t="s">
        <v>350</v>
      </c>
      <c r="G595" s="1">
        <v>43</v>
      </c>
      <c r="H595" s="1">
        <v>5</v>
      </c>
      <c r="I595" s="1" t="s">
        <v>354</v>
      </c>
      <c r="J595" s="1">
        <v>5</v>
      </c>
      <c r="K595" s="17" t="str">
        <f t="shared" si="9"/>
        <v>Jul</v>
      </c>
    </row>
    <row r="596" spans="1:11" x14ac:dyDescent="0.25">
      <c r="A596" s="16" t="s">
        <v>11</v>
      </c>
      <c r="B596" s="1" t="s">
        <v>286</v>
      </c>
      <c r="C596" s="1">
        <v>1457</v>
      </c>
      <c r="D596" s="1" t="s">
        <v>341</v>
      </c>
      <c r="E596" s="1" t="s">
        <v>346</v>
      </c>
      <c r="F596" s="1" t="s">
        <v>350</v>
      </c>
      <c r="G596" s="1">
        <v>3</v>
      </c>
      <c r="H596" s="1">
        <v>9</v>
      </c>
      <c r="I596" s="1" t="s">
        <v>353</v>
      </c>
      <c r="J596" s="1">
        <v>4</v>
      </c>
      <c r="K596" s="17" t="str">
        <f t="shared" si="9"/>
        <v>Jun</v>
      </c>
    </row>
    <row r="597" spans="1:11" x14ac:dyDescent="0.25">
      <c r="A597" s="16" t="s">
        <v>11</v>
      </c>
      <c r="B597" s="1" t="s">
        <v>38</v>
      </c>
      <c r="C597" s="1">
        <v>1733</v>
      </c>
      <c r="D597" s="1" t="s">
        <v>341</v>
      </c>
      <c r="E597" s="1" t="s">
        <v>344</v>
      </c>
      <c r="F597" s="1" t="s">
        <v>348</v>
      </c>
      <c r="G597" s="1">
        <v>35</v>
      </c>
      <c r="H597" s="1">
        <v>7</v>
      </c>
      <c r="I597" s="1" t="s">
        <v>353</v>
      </c>
      <c r="J597" s="1">
        <v>1</v>
      </c>
      <c r="K597" s="17" t="str">
        <f t="shared" si="9"/>
        <v>May</v>
      </c>
    </row>
    <row r="598" spans="1:11" x14ac:dyDescent="0.25">
      <c r="A598" s="16" t="s">
        <v>11</v>
      </c>
      <c r="B598" s="1" t="s">
        <v>312</v>
      </c>
      <c r="C598" s="1">
        <v>1484</v>
      </c>
      <c r="D598" s="1" t="s">
        <v>342</v>
      </c>
      <c r="E598" s="1" t="s">
        <v>343</v>
      </c>
      <c r="F598" s="1" t="s">
        <v>347</v>
      </c>
      <c r="G598" s="1">
        <v>17</v>
      </c>
      <c r="H598" s="1">
        <v>3</v>
      </c>
      <c r="I598" s="1" t="s">
        <v>352</v>
      </c>
      <c r="J598" s="1">
        <v>5</v>
      </c>
      <c r="K598" s="17" t="str">
        <f t="shared" si="9"/>
        <v>Sep</v>
      </c>
    </row>
    <row r="599" spans="1:11" x14ac:dyDescent="0.25">
      <c r="A599" s="16" t="s">
        <v>12</v>
      </c>
      <c r="B599" s="1" t="s">
        <v>109</v>
      </c>
      <c r="C599" s="1">
        <v>1492</v>
      </c>
      <c r="D599" s="1" t="s">
        <v>342</v>
      </c>
      <c r="E599" s="1" t="s">
        <v>346</v>
      </c>
      <c r="F599" s="1" t="s">
        <v>347</v>
      </c>
      <c r="G599" s="1">
        <v>14</v>
      </c>
      <c r="H599" s="1">
        <v>1</v>
      </c>
      <c r="I599" s="1" t="s">
        <v>353</v>
      </c>
      <c r="J599" s="1">
        <v>1</v>
      </c>
      <c r="K599" s="17" t="str">
        <f t="shared" si="9"/>
        <v>Mar</v>
      </c>
    </row>
    <row r="600" spans="1:11" x14ac:dyDescent="0.25">
      <c r="A600" s="16" t="s">
        <v>10</v>
      </c>
      <c r="B600" s="4" t="s">
        <v>110</v>
      </c>
      <c r="C600" s="1">
        <v>1327</v>
      </c>
      <c r="D600" s="1" t="s">
        <v>342</v>
      </c>
      <c r="E600" s="1" t="s">
        <v>343</v>
      </c>
      <c r="F600" s="1" t="s">
        <v>349</v>
      </c>
      <c r="G600" s="1">
        <v>50</v>
      </c>
      <c r="H600" s="1">
        <v>10</v>
      </c>
      <c r="I600" s="1" t="s">
        <v>352</v>
      </c>
      <c r="J600" s="1">
        <v>1</v>
      </c>
      <c r="K600" s="17" t="str">
        <f t="shared" si="9"/>
        <v>Dec</v>
      </c>
    </row>
    <row r="601" spans="1:11" x14ac:dyDescent="0.25">
      <c r="A601" s="16" t="s">
        <v>11</v>
      </c>
      <c r="B601" s="1" t="s">
        <v>23</v>
      </c>
      <c r="C601" s="1">
        <v>1182</v>
      </c>
      <c r="D601" s="1" t="s">
        <v>340</v>
      </c>
      <c r="E601" s="1" t="s">
        <v>345</v>
      </c>
      <c r="F601" s="1" t="s">
        <v>348</v>
      </c>
      <c r="G601" s="1">
        <v>12</v>
      </c>
      <c r="H601" s="1">
        <v>4</v>
      </c>
      <c r="I601" s="1" t="s">
        <v>354</v>
      </c>
      <c r="J601" s="1">
        <v>3</v>
      </c>
      <c r="K601" s="17" t="str">
        <f t="shared" si="9"/>
        <v>Mar</v>
      </c>
    </row>
    <row r="602" spans="1:11" x14ac:dyDescent="0.25">
      <c r="A602" s="16" t="s">
        <v>13</v>
      </c>
      <c r="B602" s="1" t="s">
        <v>313</v>
      </c>
      <c r="C602" s="1">
        <v>1983</v>
      </c>
      <c r="D602" s="1" t="s">
        <v>341</v>
      </c>
      <c r="E602" s="1" t="s">
        <v>346</v>
      </c>
      <c r="F602" s="1" t="s">
        <v>348</v>
      </c>
      <c r="G602" s="1">
        <v>18</v>
      </c>
      <c r="H602" s="1">
        <v>1</v>
      </c>
      <c r="I602" s="1" t="s">
        <v>353</v>
      </c>
      <c r="J602" s="1">
        <v>5</v>
      </c>
      <c r="K602" s="17" t="str">
        <f t="shared" si="9"/>
        <v>Feb</v>
      </c>
    </row>
    <row r="603" spans="1:11" x14ac:dyDescent="0.25">
      <c r="A603" s="16" t="s">
        <v>12</v>
      </c>
      <c r="B603" s="1" t="s">
        <v>249</v>
      </c>
      <c r="C603" s="1">
        <v>1503</v>
      </c>
      <c r="D603" s="1" t="s">
        <v>341</v>
      </c>
      <c r="E603" s="1" t="s">
        <v>344</v>
      </c>
      <c r="F603" s="1" t="s">
        <v>347</v>
      </c>
      <c r="G603" s="1">
        <v>48</v>
      </c>
      <c r="H603" s="1">
        <v>1</v>
      </c>
      <c r="I603" s="1" t="s">
        <v>352</v>
      </c>
      <c r="J603" s="1">
        <v>5</v>
      </c>
      <c r="K603" s="17" t="str">
        <f t="shared" si="9"/>
        <v>Jun</v>
      </c>
    </row>
    <row r="604" spans="1:11" x14ac:dyDescent="0.25">
      <c r="A604" s="16" t="s">
        <v>11</v>
      </c>
      <c r="B604" s="1" t="s">
        <v>200</v>
      </c>
      <c r="C604" s="1">
        <v>855</v>
      </c>
      <c r="D604" s="1" t="s">
        <v>342</v>
      </c>
      <c r="E604" s="1" t="s">
        <v>344</v>
      </c>
      <c r="F604" s="1" t="s">
        <v>347</v>
      </c>
      <c r="G604" s="1">
        <v>5</v>
      </c>
      <c r="H604" s="1">
        <v>5</v>
      </c>
      <c r="I604" s="1" t="s">
        <v>351</v>
      </c>
      <c r="J604" s="1">
        <v>3</v>
      </c>
      <c r="K604" s="17" t="str">
        <f t="shared" si="9"/>
        <v>Nov</v>
      </c>
    </row>
    <row r="605" spans="1:11" x14ac:dyDescent="0.25">
      <c r="A605" s="16" t="s">
        <v>11</v>
      </c>
      <c r="B605" s="1" t="s">
        <v>96</v>
      </c>
      <c r="C605" s="1">
        <v>1507</v>
      </c>
      <c r="D605" s="1" t="s">
        <v>341</v>
      </c>
      <c r="E605" s="1" t="s">
        <v>344</v>
      </c>
      <c r="F605" s="1" t="s">
        <v>348</v>
      </c>
      <c r="G605" s="1">
        <v>47</v>
      </c>
      <c r="H605" s="1">
        <v>10</v>
      </c>
      <c r="I605" s="1" t="s">
        <v>352</v>
      </c>
      <c r="J605" s="1">
        <v>4</v>
      </c>
      <c r="K605" s="17" t="str">
        <f t="shared" si="9"/>
        <v>Aug</v>
      </c>
    </row>
    <row r="606" spans="1:11" x14ac:dyDescent="0.25">
      <c r="A606" s="16" t="s">
        <v>13</v>
      </c>
      <c r="B606" s="1" t="s">
        <v>182</v>
      </c>
      <c r="C606" s="1">
        <v>1847</v>
      </c>
      <c r="D606" s="1" t="s">
        <v>341</v>
      </c>
      <c r="E606" s="1" t="s">
        <v>344</v>
      </c>
      <c r="F606" s="1" t="s">
        <v>350</v>
      </c>
      <c r="G606" s="1">
        <v>11</v>
      </c>
      <c r="H606" s="1">
        <v>9</v>
      </c>
      <c r="I606" s="1" t="s">
        <v>353</v>
      </c>
      <c r="J606" s="1">
        <v>3</v>
      </c>
      <c r="K606" s="17" t="str">
        <f t="shared" si="9"/>
        <v>Dec</v>
      </c>
    </row>
    <row r="607" spans="1:11" x14ac:dyDescent="0.25">
      <c r="A607" s="16" t="s">
        <v>10</v>
      </c>
      <c r="B607" s="1" t="s">
        <v>314</v>
      </c>
      <c r="C607" s="1">
        <v>1656</v>
      </c>
      <c r="D607" s="1" t="s">
        <v>342</v>
      </c>
      <c r="E607" s="1" t="s">
        <v>343</v>
      </c>
      <c r="F607" s="1" t="s">
        <v>348</v>
      </c>
      <c r="G607" s="1">
        <v>50</v>
      </c>
      <c r="H607" s="1">
        <v>8</v>
      </c>
      <c r="I607" s="1" t="s">
        <v>354</v>
      </c>
      <c r="J607" s="1">
        <v>5</v>
      </c>
      <c r="K607" s="17" t="str">
        <f t="shared" si="9"/>
        <v>Aug</v>
      </c>
    </row>
    <row r="608" spans="1:11" x14ac:dyDescent="0.25">
      <c r="A608" s="16" t="s">
        <v>10</v>
      </c>
      <c r="B608" s="1" t="s">
        <v>305</v>
      </c>
      <c r="C608" s="1">
        <v>1387</v>
      </c>
      <c r="D608" s="1" t="s">
        <v>340</v>
      </c>
      <c r="E608" s="1" t="s">
        <v>343</v>
      </c>
      <c r="F608" s="1" t="s">
        <v>348</v>
      </c>
      <c r="G608" s="1">
        <v>36</v>
      </c>
      <c r="H608" s="1">
        <v>3</v>
      </c>
      <c r="I608" s="1" t="s">
        <v>353</v>
      </c>
      <c r="J608" s="1">
        <v>5</v>
      </c>
      <c r="K608" s="17" t="str">
        <f t="shared" si="9"/>
        <v>Jun</v>
      </c>
    </row>
    <row r="609" spans="1:11" x14ac:dyDescent="0.25">
      <c r="A609" s="16" t="s">
        <v>10</v>
      </c>
      <c r="B609" s="1" t="s">
        <v>192</v>
      </c>
      <c r="C609" s="1">
        <v>626</v>
      </c>
      <c r="D609" s="1" t="s">
        <v>340</v>
      </c>
      <c r="E609" s="1" t="s">
        <v>344</v>
      </c>
      <c r="F609" s="1" t="s">
        <v>347</v>
      </c>
      <c r="G609" s="1">
        <v>16</v>
      </c>
      <c r="H609" s="1">
        <v>5</v>
      </c>
      <c r="I609" s="1" t="s">
        <v>353</v>
      </c>
      <c r="J609" s="1">
        <v>4</v>
      </c>
      <c r="K609" s="17" t="str">
        <f t="shared" si="9"/>
        <v>Nov</v>
      </c>
    </row>
    <row r="610" spans="1:11" x14ac:dyDescent="0.25">
      <c r="A610" s="16" t="s">
        <v>11</v>
      </c>
      <c r="B610" s="1" t="s">
        <v>266</v>
      </c>
      <c r="C610" s="1">
        <v>1629</v>
      </c>
      <c r="D610" s="1" t="s">
        <v>340</v>
      </c>
      <c r="E610" s="1" t="s">
        <v>344</v>
      </c>
      <c r="F610" s="1" t="s">
        <v>347</v>
      </c>
      <c r="G610" s="1">
        <v>22</v>
      </c>
      <c r="H610" s="1">
        <v>6</v>
      </c>
      <c r="I610" s="1" t="s">
        <v>352</v>
      </c>
      <c r="J610" s="1">
        <v>3</v>
      </c>
      <c r="K610" s="17" t="str">
        <f t="shared" si="9"/>
        <v>Jul</v>
      </c>
    </row>
    <row r="611" spans="1:11" x14ac:dyDescent="0.25">
      <c r="A611" s="16" t="s">
        <v>11</v>
      </c>
      <c r="B611" s="1" t="s">
        <v>20</v>
      </c>
      <c r="C611" s="1">
        <v>1508</v>
      </c>
      <c r="D611" s="1" t="s">
        <v>342</v>
      </c>
      <c r="E611" s="1" t="s">
        <v>344</v>
      </c>
      <c r="F611" s="1" t="s">
        <v>350</v>
      </c>
      <c r="G611" s="1">
        <v>25</v>
      </c>
      <c r="H611" s="1">
        <v>10</v>
      </c>
      <c r="I611" s="1" t="s">
        <v>351</v>
      </c>
      <c r="J611" s="1">
        <v>0</v>
      </c>
      <c r="K611" s="17" t="str">
        <f t="shared" si="9"/>
        <v>Apr</v>
      </c>
    </row>
    <row r="612" spans="1:11" x14ac:dyDescent="0.25">
      <c r="A612" s="16" t="s">
        <v>11</v>
      </c>
      <c r="B612" s="1" t="s">
        <v>206</v>
      </c>
      <c r="C612" s="1">
        <v>1103</v>
      </c>
      <c r="D612" s="1" t="s">
        <v>341</v>
      </c>
      <c r="E612" s="1" t="s">
        <v>343</v>
      </c>
      <c r="F612" s="1" t="s">
        <v>350</v>
      </c>
      <c r="G612" s="1">
        <v>28</v>
      </c>
      <c r="H612" s="1">
        <v>5</v>
      </c>
      <c r="I612" s="1" t="s">
        <v>353</v>
      </c>
      <c r="J612" s="1">
        <v>0</v>
      </c>
      <c r="K612" s="17" t="str">
        <f t="shared" si="9"/>
        <v>Mar</v>
      </c>
    </row>
    <row r="613" spans="1:11" x14ac:dyDescent="0.25">
      <c r="A613" s="16" t="s">
        <v>12</v>
      </c>
      <c r="B613" s="4" t="s">
        <v>315</v>
      </c>
      <c r="C613" s="1">
        <v>1901</v>
      </c>
      <c r="D613" s="1" t="s">
        <v>342</v>
      </c>
      <c r="E613" s="1" t="s">
        <v>344</v>
      </c>
      <c r="F613" s="1" t="s">
        <v>349</v>
      </c>
      <c r="G613" s="1">
        <v>32</v>
      </c>
      <c r="H613" s="1">
        <v>7</v>
      </c>
      <c r="I613" s="1" t="s">
        <v>351</v>
      </c>
      <c r="J613" s="1">
        <v>4</v>
      </c>
      <c r="K613" s="17" t="str">
        <f t="shared" si="9"/>
        <v>Oct</v>
      </c>
    </row>
    <row r="614" spans="1:11" x14ac:dyDescent="0.25">
      <c r="A614" s="16" t="s">
        <v>13</v>
      </c>
      <c r="B614" s="1" t="s">
        <v>272</v>
      </c>
      <c r="C614" s="1">
        <v>1513</v>
      </c>
      <c r="D614" s="1" t="s">
        <v>342</v>
      </c>
      <c r="E614" s="1" t="s">
        <v>344</v>
      </c>
      <c r="F614" s="1" t="s">
        <v>348</v>
      </c>
      <c r="G614" s="1">
        <v>26</v>
      </c>
      <c r="H614" s="1">
        <v>3</v>
      </c>
      <c r="I614" s="1" t="s">
        <v>352</v>
      </c>
      <c r="J614" s="1">
        <v>3</v>
      </c>
      <c r="K614" s="17" t="str">
        <f t="shared" si="9"/>
        <v>Jul</v>
      </c>
    </row>
    <row r="615" spans="1:11" x14ac:dyDescent="0.25">
      <c r="A615" s="16" t="s">
        <v>11</v>
      </c>
      <c r="B615" s="1" t="s">
        <v>285</v>
      </c>
      <c r="C615" s="1">
        <v>550</v>
      </c>
      <c r="D615" s="1" t="s">
        <v>341</v>
      </c>
      <c r="E615" s="1" t="s">
        <v>345</v>
      </c>
      <c r="F615" s="1" t="s">
        <v>347</v>
      </c>
      <c r="G615" s="1">
        <v>24</v>
      </c>
      <c r="H615" s="1">
        <v>0</v>
      </c>
      <c r="I615" s="1" t="s">
        <v>351</v>
      </c>
      <c r="J615" s="1">
        <v>3</v>
      </c>
      <c r="K615" s="17" t="str">
        <f t="shared" si="9"/>
        <v>Oct</v>
      </c>
    </row>
    <row r="616" spans="1:11" x14ac:dyDescent="0.25">
      <c r="A616" s="16" t="s">
        <v>13</v>
      </c>
      <c r="B616" s="1" t="s">
        <v>316</v>
      </c>
      <c r="C616" s="1">
        <v>1552</v>
      </c>
      <c r="D616" s="1" t="s">
        <v>340</v>
      </c>
      <c r="E616" s="1" t="s">
        <v>345</v>
      </c>
      <c r="F616" s="1" t="s">
        <v>350</v>
      </c>
      <c r="G616" s="1">
        <v>9</v>
      </c>
      <c r="H616" s="1">
        <v>6</v>
      </c>
      <c r="I616" s="1" t="s">
        <v>352</v>
      </c>
      <c r="J616" s="1">
        <v>1</v>
      </c>
      <c r="K616" s="17" t="str">
        <f t="shared" si="9"/>
        <v>Mar</v>
      </c>
    </row>
    <row r="617" spans="1:11" x14ac:dyDescent="0.25">
      <c r="A617" s="16" t="s">
        <v>13</v>
      </c>
      <c r="B617" s="4" t="s">
        <v>162</v>
      </c>
      <c r="C617" s="1">
        <v>1985</v>
      </c>
      <c r="D617" s="1" t="s">
        <v>340</v>
      </c>
      <c r="E617" s="1" t="s">
        <v>344</v>
      </c>
      <c r="F617" s="1" t="s">
        <v>349</v>
      </c>
      <c r="G617" s="1">
        <v>46</v>
      </c>
      <c r="H617" s="1">
        <v>2</v>
      </c>
      <c r="I617" s="1" t="s">
        <v>354</v>
      </c>
      <c r="J617" s="1">
        <v>5</v>
      </c>
      <c r="K617" s="17" t="str">
        <f t="shared" si="9"/>
        <v>Feb</v>
      </c>
    </row>
    <row r="618" spans="1:11" x14ac:dyDescent="0.25">
      <c r="A618" s="16" t="s">
        <v>10</v>
      </c>
      <c r="B618" s="4" t="s">
        <v>250</v>
      </c>
      <c r="C618" s="1">
        <v>1819</v>
      </c>
      <c r="D618" s="1" t="s">
        <v>342</v>
      </c>
      <c r="E618" s="1" t="s">
        <v>346</v>
      </c>
      <c r="F618" s="1" t="s">
        <v>349</v>
      </c>
      <c r="G618" s="1">
        <v>22</v>
      </c>
      <c r="H618" s="1">
        <v>5</v>
      </c>
      <c r="I618" s="1" t="s">
        <v>351</v>
      </c>
      <c r="J618" s="1">
        <v>2</v>
      </c>
      <c r="K618" s="17" t="str">
        <f t="shared" si="9"/>
        <v>May</v>
      </c>
    </row>
    <row r="619" spans="1:11" x14ac:dyDescent="0.25">
      <c r="A619" s="16" t="s">
        <v>12</v>
      </c>
      <c r="B619" s="1" t="s">
        <v>226</v>
      </c>
      <c r="C619" s="1">
        <v>1820</v>
      </c>
      <c r="D619" s="1" t="s">
        <v>340</v>
      </c>
      <c r="E619" s="1" t="s">
        <v>344</v>
      </c>
      <c r="F619" s="1" t="s">
        <v>347</v>
      </c>
      <c r="G619" s="1">
        <v>20</v>
      </c>
      <c r="H619" s="1">
        <v>1</v>
      </c>
      <c r="I619" s="1" t="s">
        <v>351</v>
      </c>
      <c r="J619" s="1">
        <v>4</v>
      </c>
      <c r="K619" s="17" t="str">
        <f t="shared" si="9"/>
        <v>Oct</v>
      </c>
    </row>
    <row r="620" spans="1:11" x14ac:dyDescent="0.25">
      <c r="A620" s="16" t="s">
        <v>11</v>
      </c>
      <c r="B620" s="1" t="s">
        <v>144</v>
      </c>
      <c r="C620" s="1">
        <v>1278</v>
      </c>
      <c r="D620" s="1" t="s">
        <v>342</v>
      </c>
      <c r="E620" s="1" t="s">
        <v>345</v>
      </c>
      <c r="F620" s="1" t="s">
        <v>347</v>
      </c>
      <c r="G620" s="1">
        <v>20</v>
      </c>
      <c r="H620" s="1">
        <v>8</v>
      </c>
      <c r="I620" s="1" t="s">
        <v>354</v>
      </c>
      <c r="J620" s="1">
        <v>2</v>
      </c>
      <c r="K620" s="17" t="str">
        <f t="shared" si="9"/>
        <v>Oct</v>
      </c>
    </row>
    <row r="621" spans="1:11" x14ac:dyDescent="0.25">
      <c r="A621" s="16" t="s">
        <v>10</v>
      </c>
      <c r="B621" s="4" t="s">
        <v>118</v>
      </c>
      <c r="C621" s="1">
        <v>1930</v>
      </c>
      <c r="D621" s="1" t="s">
        <v>342</v>
      </c>
      <c r="E621" s="1" t="s">
        <v>346</v>
      </c>
      <c r="F621" s="1" t="s">
        <v>349</v>
      </c>
      <c r="G621" s="1">
        <v>42</v>
      </c>
      <c r="H621" s="1">
        <v>0</v>
      </c>
      <c r="I621" s="1" t="s">
        <v>351</v>
      </c>
      <c r="J621" s="1">
        <v>2</v>
      </c>
      <c r="K621" s="17" t="str">
        <f t="shared" si="9"/>
        <v>Oct</v>
      </c>
    </row>
    <row r="622" spans="1:11" x14ac:dyDescent="0.25">
      <c r="A622" s="16" t="s">
        <v>10</v>
      </c>
      <c r="B622" s="1" t="s">
        <v>245</v>
      </c>
      <c r="C622" s="1">
        <v>1313</v>
      </c>
      <c r="D622" s="1" t="s">
        <v>341</v>
      </c>
      <c r="E622" s="1" t="s">
        <v>346</v>
      </c>
      <c r="F622" s="1" t="s">
        <v>350</v>
      </c>
      <c r="G622" s="1">
        <v>12</v>
      </c>
      <c r="H622" s="1">
        <v>5</v>
      </c>
      <c r="I622" s="1" t="s">
        <v>354</v>
      </c>
      <c r="J622" s="1">
        <v>4</v>
      </c>
      <c r="K622" s="17" t="str">
        <f t="shared" si="9"/>
        <v>Jun</v>
      </c>
    </row>
    <row r="623" spans="1:11" x14ac:dyDescent="0.25">
      <c r="A623" s="16" t="s">
        <v>11</v>
      </c>
      <c r="B623" s="4" t="s">
        <v>317</v>
      </c>
      <c r="C623" s="1">
        <v>1928</v>
      </c>
      <c r="D623" s="1" t="s">
        <v>341</v>
      </c>
      <c r="E623" s="1" t="s">
        <v>344</v>
      </c>
      <c r="F623" s="1" t="s">
        <v>349</v>
      </c>
      <c r="G623" s="1">
        <v>36</v>
      </c>
      <c r="H623" s="1">
        <v>5</v>
      </c>
      <c r="I623" s="1" t="s">
        <v>353</v>
      </c>
      <c r="J623" s="1">
        <v>3</v>
      </c>
      <c r="K623" s="17" t="str">
        <f t="shared" si="9"/>
        <v>Sep</v>
      </c>
    </row>
    <row r="624" spans="1:11" x14ac:dyDescent="0.25">
      <c r="A624" s="16" t="s">
        <v>13</v>
      </c>
      <c r="B624" s="1" t="s">
        <v>227</v>
      </c>
      <c r="C624" s="1">
        <v>1869</v>
      </c>
      <c r="D624" s="1" t="s">
        <v>341</v>
      </c>
      <c r="E624" s="1" t="s">
        <v>345</v>
      </c>
      <c r="F624" s="1" t="s">
        <v>348</v>
      </c>
      <c r="G624" s="1">
        <v>32</v>
      </c>
      <c r="H624" s="1">
        <v>4</v>
      </c>
      <c r="I624" s="1" t="s">
        <v>352</v>
      </c>
      <c r="J624" s="1">
        <v>4</v>
      </c>
      <c r="K624" s="17" t="str">
        <f t="shared" si="9"/>
        <v>May</v>
      </c>
    </row>
    <row r="625" spans="1:11" x14ac:dyDescent="0.25">
      <c r="A625" s="16" t="s">
        <v>10</v>
      </c>
      <c r="B625" s="1" t="s">
        <v>308</v>
      </c>
      <c r="C625" s="1">
        <v>919</v>
      </c>
      <c r="D625" s="1" t="s">
        <v>342</v>
      </c>
      <c r="E625" s="1" t="s">
        <v>345</v>
      </c>
      <c r="F625" s="1" t="s">
        <v>348</v>
      </c>
      <c r="G625" s="1">
        <v>23</v>
      </c>
      <c r="H625" s="1">
        <v>4</v>
      </c>
      <c r="I625" s="1" t="s">
        <v>354</v>
      </c>
      <c r="J625" s="1">
        <v>2</v>
      </c>
      <c r="K625" s="17" t="str">
        <f t="shared" si="9"/>
        <v>Aug</v>
      </c>
    </row>
    <row r="626" spans="1:11" x14ac:dyDescent="0.25">
      <c r="A626" s="16" t="s">
        <v>13</v>
      </c>
      <c r="B626" s="1" t="s">
        <v>67</v>
      </c>
      <c r="C626" s="1">
        <v>1705</v>
      </c>
      <c r="D626" s="1" t="s">
        <v>341</v>
      </c>
      <c r="E626" s="1" t="s">
        <v>346</v>
      </c>
      <c r="F626" s="1" t="s">
        <v>347</v>
      </c>
      <c r="G626" s="1">
        <v>43</v>
      </c>
      <c r="H626" s="1">
        <v>0</v>
      </c>
      <c r="I626" s="1" t="s">
        <v>351</v>
      </c>
      <c r="J626" s="1">
        <v>5</v>
      </c>
      <c r="K626" s="17" t="str">
        <f t="shared" si="9"/>
        <v>Aug</v>
      </c>
    </row>
    <row r="627" spans="1:11" x14ac:dyDescent="0.25">
      <c r="A627" s="16" t="s">
        <v>12</v>
      </c>
      <c r="B627" s="1" t="s">
        <v>102</v>
      </c>
      <c r="C627" s="1">
        <v>1482</v>
      </c>
      <c r="D627" s="1" t="s">
        <v>340</v>
      </c>
      <c r="E627" s="1" t="s">
        <v>344</v>
      </c>
      <c r="F627" s="1" t="s">
        <v>350</v>
      </c>
      <c r="G627" s="1">
        <v>10</v>
      </c>
      <c r="H627" s="1">
        <v>9</v>
      </c>
      <c r="I627" s="1" t="s">
        <v>354</v>
      </c>
      <c r="J627" s="1">
        <v>5</v>
      </c>
      <c r="K627" s="17" t="str">
        <f t="shared" si="9"/>
        <v>Jun</v>
      </c>
    </row>
    <row r="628" spans="1:11" x14ac:dyDescent="0.25">
      <c r="A628" s="16" t="s">
        <v>13</v>
      </c>
      <c r="B628" s="1" t="s">
        <v>78</v>
      </c>
      <c r="C628" s="1">
        <v>1324</v>
      </c>
      <c r="D628" s="1" t="s">
        <v>340</v>
      </c>
      <c r="E628" s="1" t="s">
        <v>343</v>
      </c>
      <c r="F628" s="1" t="s">
        <v>350</v>
      </c>
      <c r="G628" s="1">
        <v>16</v>
      </c>
      <c r="H628" s="1">
        <v>4</v>
      </c>
      <c r="I628" s="1" t="s">
        <v>351</v>
      </c>
      <c r="J628" s="1">
        <v>5</v>
      </c>
      <c r="K628" s="17" t="str">
        <f t="shared" si="9"/>
        <v>Jan</v>
      </c>
    </row>
    <row r="629" spans="1:11" x14ac:dyDescent="0.25">
      <c r="A629" s="16" t="s">
        <v>12</v>
      </c>
      <c r="B629" s="1" t="s">
        <v>57</v>
      </c>
      <c r="C629" s="1">
        <v>1524</v>
      </c>
      <c r="D629" s="1" t="s">
        <v>342</v>
      </c>
      <c r="E629" s="1" t="s">
        <v>343</v>
      </c>
      <c r="F629" s="1" t="s">
        <v>348</v>
      </c>
      <c r="G629" s="1">
        <v>3</v>
      </c>
      <c r="H629" s="1">
        <v>1</v>
      </c>
      <c r="I629" s="1" t="s">
        <v>353</v>
      </c>
      <c r="J629" s="1">
        <v>3</v>
      </c>
      <c r="K629" s="17" t="str">
        <f t="shared" si="9"/>
        <v>Mar</v>
      </c>
    </row>
    <row r="630" spans="1:11" x14ac:dyDescent="0.25">
      <c r="A630" s="16" t="s">
        <v>13</v>
      </c>
      <c r="B630" s="4" t="s">
        <v>66</v>
      </c>
      <c r="C630" s="1">
        <v>1066</v>
      </c>
      <c r="D630" s="1" t="s">
        <v>342</v>
      </c>
      <c r="E630" s="1" t="s">
        <v>345</v>
      </c>
      <c r="F630" s="1" t="s">
        <v>349</v>
      </c>
      <c r="G630" s="1">
        <v>46</v>
      </c>
      <c r="H630" s="1">
        <v>6</v>
      </c>
      <c r="I630" s="1" t="s">
        <v>354</v>
      </c>
      <c r="J630" s="1">
        <v>0</v>
      </c>
      <c r="K630" s="17" t="str">
        <f t="shared" si="9"/>
        <v>Nov</v>
      </c>
    </row>
    <row r="631" spans="1:11" x14ac:dyDescent="0.25">
      <c r="A631" s="16" t="s">
        <v>10</v>
      </c>
      <c r="B631" s="1" t="s">
        <v>121</v>
      </c>
      <c r="C631" s="1">
        <v>870</v>
      </c>
      <c r="D631" s="1" t="s">
        <v>341</v>
      </c>
      <c r="E631" s="1" t="s">
        <v>343</v>
      </c>
      <c r="F631" s="1" t="s">
        <v>347</v>
      </c>
      <c r="G631" s="1">
        <v>24</v>
      </c>
      <c r="H631" s="1">
        <v>2</v>
      </c>
      <c r="I631" s="1" t="s">
        <v>353</v>
      </c>
      <c r="J631" s="1">
        <v>4</v>
      </c>
      <c r="K631" s="17" t="str">
        <f t="shared" si="9"/>
        <v>Nov</v>
      </c>
    </row>
    <row r="632" spans="1:11" x14ac:dyDescent="0.25">
      <c r="A632" s="16" t="s">
        <v>10</v>
      </c>
      <c r="B632" s="4" t="s">
        <v>42</v>
      </c>
      <c r="C632" s="1">
        <v>1435</v>
      </c>
      <c r="D632" s="1" t="s">
        <v>342</v>
      </c>
      <c r="E632" s="1" t="s">
        <v>345</v>
      </c>
      <c r="F632" s="1" t="s">
        <v>349</v>
      </c>
      <c r="G632" s="1">
        <v>29</v>
      </c>
      <c r="H632" s="1">
        <v>3</v>
      </c>
      <c r="I632" s="1" t="s">
        <v>352</v>
      </c>
      <c r="J632" s="1">
        <v>5</v>
      </c>
      <c r="K632" s="17" t="str">
        <f t="shared" si="9"/>
        <v>Jul</v>
      </c>
    </row>
    <row r="633" spans="1:11" x14ac:dyDescent="0.25">
      <c r="A633" s="16" t="s">
        <v>12</v>
      </c>
      <c r="B633" s="4" t="s">
        <v>29</v>
      </c>
      <c r="C633" s="1">
        <v>1160</v>
      </c>
      <c r="D633" s="1" t="s">
        <v>342</v>
      </c>
      <c r="E633" s="1" t="s">
        <v>345</v>
      </c>
      <c r="F633" s="1" t="s">
        <v>349</v>
      </c>
      <c r="G633" s="1">
        <v>8</v>
      </c>
      <c r="H633" s="1">
        <v>2</v>
      </c>
      <c r="I633" s="1" t="s">
        <v>351</v>
      </c>
      <c r="J633" s="1">
        <v>4</v>
      </c>
      <c r="K633" s="17" t="str">
        <f t="shared" si="9"/>
        <v>Aug</v>
      </c>
    </row>
    <row r="634" spans="1:11" x14ac:dyDescent="0.25">
      <c r="A634" s="16" t="s">
        <v>11</v>
      </c>
      <c r="B634" s="4" t="s">
        <v>210</v>
      </c>
      <c r="C634" s="1">
        <v>1954</v>
      </c>
      <c r="D634" s="1" t="s">
        <v>340</v>
      </c>
      <c r="E634" s="1" t="s">
        <v>345</v>
      </c>
      <c r="F634" s="1" t="s">
        <v>349</v>
      </c>
      <c r="G634" s="1">
        <v>20</v>
      </c>
      <c r="H634" s="1">
        <v>2</v>
      </c>
      <c r="I634" s="1" t="s">
        <v>351</v>
      </c>
      <c r="J634" s="1">
        <v>5</v>
      </c>
      <c r="K634" s="17" t="str">
        <f t="shared" si="9"/>
        <v>May</v>
      </c>
    </row>
    <row r="635" spans="1:11" x14ac:dyDescent="0.25">
      <c r="A635" s="16" t="s">
        <v>12</v>
      </c>
      <c r="B635" s="1" t="s">
        <v>318</v>
      </c>
      <c r="C635" s="1">
        <v>1468</v>
      </c>
      <c r="D635" s="1" t="s">
        <v>340</v>
      </c>
      <c r="E635" s="1" t="s">
        <v>343</v>
      </c>
      <c r="F635" s="1" t="s">
        <v>350</v>
      </c>
      <c r="G635" s="1">
        <v>19</v>
      </c>
      <c r="H635" s="1">
        <v>3</v>
      </c>
      <c r="I635" s="1" t="s">
        <v>353</v>
      </c>
      <c r="J635" s="1">
        <v>3</v>
      </c>
      <c r="K635" s="17" t="str">
        <f t="shared" si="9"/>
        <v>Feb</v>
      </c>
    </row>
    <row r="636" spans="1:11" x14ac:dyDescent="0.25">
      <c r="A636" s="16" t="s">
        <v>12</v>
      </c>
      <c r="B636" s="1" t="s">
        <v>319</v>
      </c>
      <c r="C636" s="1">
        <v>1832</v>
      </c>
      <c r="D636" s="1" t="s">
        <v>341</v>
      </c>
      <c r="E636" s="1" t="s">
        <v>345</v>
      </c>
      <c r="F636" s="1" t="s">
        <v>348</v>
      </c>
      <c r="G636" s="1">
        <v>18</v>
      </c>
      <c r="H636" s="1">
        <v>4</v>
      </c>
      <c r="I636" s="1" t="s">
        <v>352</v>
      </c>
      <c r="J636" s="1">
        <v>0</v>
      </c>
      <c r="K636" s="17" t="str">
        <f t="shared" si="9"/>
        <v>Dec</v>
      </c>
    </row>
    <row r="637" spans="1:11" x14ac:dyDescent="0.25">
      <c r="A637" s="16" t="s">
        <v>13</v>
      </c>
      <c r="B637" s="1" t="s">
        <v>218</v>
      </c>
      <c r="C637" s="1">
        <v>1660</v>
      </c>
      <c r="D637" s="1" t="s">
        <v>342</v>
      </c>
      <c r="E637" s="1" t="s">
        <v>346</v>
      </c>
      <c r="F637" s="1" t="s">
        <v>350</v>
      </c>
      <c r="G637" s="1">
        <v>18</v>
      </c>
      <c r="H637" s="1">
        <v>0</v>
      </c>
      <c r="I637" s="1" t="s">
        <v>354</v>
      </c>
      <c r="J637" s="1">
        <v>0</v>
      </c>
      <c r="K637" s="17" t="str">
        <f t="shared" si="9"/>
        <v>Feb</v>
      </c>
    </row>
    <row r="638" spans="1:11" x14ac:dyDescent="0.25">
      <c r="A638" s="16" t="s">
        <v>13</v>
      </c>
      <c r="B638" s="1" t="s">
        <v>258</v>
      </c>
      <c r="C638" s="1">
        <v>701</v>
      </c>
      <c r="D638" s="1" t="s">
        <v>342</v>
      </c>
      <c r="E638" s="1" t="s">
        <v>344</v>
      </c>
      <c r="F638" s="1" t="s">
        <v>348</v>
      </c>
      <c r="G638" s="1">
        <v>11</v>
      </c>
      <c r="H638" s="1">
        <v>3</v>
      </c>
      <c r="I638" s="1" t="s">
        <v>354</v>
      </c>
      <c r="J638" s="1">
        <v>5</v>
      </c>
      <c r="K638" s="17" t="str">
        <f t="shared" si="9"/>
        <v>Dec</v>
      </c>
    </row>
    <row r="639" spans="1:11" x14ac:dyDescent="0.25">
      <c r="A639" s="16" t="s">
        <v>12</v>
      </c>
      <c r="B639" s="1" t="s">
        <v>275</v>
      </c>
      <c r="C639" s="1">
        <v>1959</v>
      </c>
      <c r="D639" s="1" t="s">
        <v>340</v>
      </c>
      <c r="E639" s="1" t="s">
        <v>344</v>
      </c>
      <c r="F639" s="1" t="s">
        <v>347</v>
      </c>
      <c r="G639" s="1">
        <v>36</v>
      </c>
      <c r="H639" s="1">
        <v>10</v>
      </c>
      <c r="I639" s="1" t="s">
        <v>351</v>
      </c>
      <c r="J639" s="1">
        <v>3</v>
      </c>
      <c r="K639" s="17" t="str">
        <f t="shared" si="9"/>
        <v>Jun</v>
      </c>
    </row>
    <row r="640" spans="1:11" x14ac:dyDescent="0.25">
      <c r="A640" s="16" t="s">
        <v>10</v>
      </c>
      <c r="B640" s="1" t="s">
        <v>84</v>
      </c>
      <c r="C640" s="1">
        <v>812</v>
      </c>
      <c r="D640" s="1" t="s">
        <v>342</v>
      </c>
      <c r="E640" s="1" t="s">
        <v>345</v>
      </c>
      <c r="F640" s="1" t="s">
        <v>347</v>
      </c>
      <c r="G640" s="1">
        <v>41</v>
      </c>
      <c r="H640" s="1">
        <v>7</v>
      </c>
      <c r="I640" s="1" t="s">
        <v>353</v>
      </c>
      <c r="J640" s="1">
        <v>1</v>
      </c>
      <c r="K640" s="17" t="str">
        <f t="shared" si="9"/>
        <v>Feb</v>
      </c>
    </row>
    <row r="641" spans="1:11" x14ac:dyDescent="0.25">
      <c r="A641" s="16" t="s">
        <v>13</v>
      </c>
      <c r="B641" s="4" t="s">
        <v>267</v>
      </c>
      <c r="C641" s="1">
        <v>616</v>
      </c>
      <c r="D641" s="1" t="s">
        <v>340</v>
      </c>
      <c r="E641" s="1" t="s">
        <v>344</v>
      </c>
      <c r="F641" s="1" t="s">
        <v>349</v>
      </c>
      <c r="G641" s="1">
        <v>16</v>
      </c>
      <c r="H641" s="1">
        <v>9</v>
      </c>
      <c r="I641" s="1" t="s">
        <v>353</v>
      </c>
      <c r="J641" s="1">
        <v>4</v>
      </c>
      <c r="K641" s="17" t="str">
        <f t="shared" si="9"/>
        <v>Mar</v>
      </c>
    </row>
    <row r="642" spans="1:11" x14ac:dyDescent="0.25">
      <c r="A642" s="16" t="s">
        <v>11</v>
      </c>
      <c r="B642" s="1" t="s">
        <v>249</v>
      </c>
      <c r="C642" s="1">
        <v>1436</v>
      </c>
      <c r="D642" s="1" t="s">
        <v>341</v>
      </c>
      <c r="E642" s="1" t="s">
        <v>343</v>
      </c>
      <c r="F642" s="1" t="s">
        <v>348</v>
      </c>
      <c r="G642" s="1">
        <v>36</v>
      </c>
      <c r="H642" s="1">
        <v>6</v>
      </c>
      <c r="I642" s="1" t="s">
        <v>354</v>
      </c>
      <c r="J642" s="1">
        <v>4</v>
      </c>
      <c r="K642" s="17" t="str">
        <f t="shared" si="9"/>
        <v>Jun</v>
      </c>
    </row>
    <row r="643" spans="1:11" x14ac:dyDescent="0.25">
      <c r="A643" s="16" t="s">
        <v>13</v>
      </c>
      <c r="B643" s="1" t="s">
        <v>214</v>
      </c>
      <c r="C643" s="1">
        <v>1074</v>
      </c>
      <c r="D643" s="1" t="s">
        <v>340</v>
      </c>
      <c r="E643" s="1" t="s">
        <v>343</v>
      </c>
      <c r="F643" s="1" t="s">
        <v>348</v>
      </c>
      <c r="G643" s="1">
        <v>47</v>
      </c>
      <c r="H643" s="1">
        <v>8</v>
      </c>
      <c r="I643" s="1" t="s">
        <v>352</v>
      </c>
      <c r="J643" s="1">
        <v>2</v>
      </c>
      <c r="K643" s="17" t="str">
        <f t="shared" si="9"/>
        <v>Aug</v>
      </c>
    </row>
    <row r="644" spans="1:11" x14ac:dyDescent="0.25">
      <c r="A644" s="16" t="s">
        <v>13</v>
      </c>
      <c r="B644" s="1" t="s">
        <v>203</v>
      </c>
      <c r="C644" s="1">
        <v>743</v>
      </c>
      <c r="D644" s="1" t="s">
        <v>342</v>
      </c>
      <c r="E644" s="1" t="s">
        <v>344</v>
      </c>
      <c r="F644" s="1" t="s">
        <v>348</v>
      </c>
      <c r="G644" s="1">
        <v>38</v>
      </c>
      <c r="H644" s="1">
        <v>4</v>
      </c>
      <c r="I644" s="1" t="s">
        <v>352</v>
      </c>
      <c r="J644" s="1">
        <v>3</v>
      </c>
      <c r="K644" s="17" t="str">
        <f t="shared" ref="K644:K707" si="10">TEXT(B644,"mmm")</f>
        <v>Mar</v>
      </c>
    </row>
    <row r="645" spans="1:11" x14ac:dyDescent="0.25">
      <c r="A645" s="16" t="s">
        <v>11</v>
      </c>
      <c r="B645" s="4" t="s">
        <v>320</v>
      </c>
      <c r="C645" s="1">
        <v>1036</v>
      </c>
      <c r="D645" s="1" t="s">
        <v>341</v>
      </c>
      <c r="E645" s="1" t="s">
        <v>343</v>
      </c>
      <c r="F645" s="1" t="s">
        <v>349</v>
      </c>
      <c r="G645" s="1">
        <v>27</v>
      </c>
      <c r="H645" s="1">
        <v>9</v>
      </c>
      <c r="I645" s="1" t="s">
        <v>354</v>
      </c>
      <c r="J645" s="1">
        <v>2</v>
      </c>
      <c r="K645" s="17" t="str">
        <f t="shared" si="10"/>
        <v>Aug</v>
      </c>
    </row>
    <row r="646" spans="1:11" x14ac:dyDescent="0.25">
      <c r="A646" s="16" t="s">
        <v>12</v>
      </c>
      <c r="B646" s="4" t="s">
        <v>126</v>
      </c>
      <c r="C646" s="1">
        <v>574</v>
      </c>
      <c r="D646" s="1" t="s">
        <v>340</v>
      </c>
      <c r="E646" s="1" t="s">
        <v>344</v>
      </c>
      <c r="F646" s="1" t="s">
        <v>349</v>
      </c>
      <c r="G646" s="1">
        <v>40</v>
      </c>
      <c r="H646" s="1">
        <v>3</v>
      </c>
      <c r="I646" s="1" t="s">
        <v>354</v>
      </c>
      <c r="J646" s="1">
        <v>5</v>
      </c>
      <c r="K646" s="17" t="str">
        <f t="shared" si="10"/>
        <v>Feb</v>
      </c>
    </row>
    <row r="647" spans="1:11" x14ac:dyDescent="0.25">
      <c r="A647" s="16" t="s">
        <v>11</v>
      </c>
      <c r="B647" s="1" t="s">
        <v>57</v>
      </c>
      <c r="C647" s="1">
        <v>885</v>
      </c>
      <c r="D647" s="1" t="s">
        <v>340</v>
      </c>
      <c r="E647" s="1" t="s">
        <v>344</v>
      </c>
      <c r="F647" s="1" t="s">
        <v>347</v>
      </c>
      <c r="G647" s="1">
        <v>34</v>
      </c>
      <c r="H647" s="1">
        <v>7</v>
      </c>
      <c r="I647" s="1" t="s">
        <v>353</v>
      </c>
      <c r="J647" s="1">
        <v>2</v>
      </c>
      <c r="K647" s="17" t="str">
        <f t="shared" si="10"/>
        <v>Mar</v>
      </c>
    </row>
    <row r="648" spans="1:11" x14ac:dyDescent="0.25">
      <c r="A648" s="16" t="s">
        <v>12</v>
      </c>
      <c r="B648" s="1" t="s">
        <v>39</v>
      </c>
      <c r="C648" s="1">
        <v>1733</v>
      </c>
      <c r="D648" s="1" t="s">
        <v>341</v>
      </c>
      <c r="E648" s="1" t="s">
        <v>344</v>
      </c>
      <c r="F648" s="1" t="s">
        <v>350</v>
      </c>
      <c r="G648" s="1">
        <v>46</v>
      </c>
      <c r="H648" s="1">
        <v>8</v>
      </c>
      <c r="I648" s="1" t="s">
        <v>352</v>
      </c>
      <c r="J648" s="1">
        <v>0</v>
      </c>
      <c r="K648" s="17" t="str">
        <f t="shared" si="10"/>
        <v>Sep</v>
      </c>
    </row>
    <row r="649" spans="1:11" x14ac:dyDescent="0.25">
      <c r="A649" s="16" t="s">
        <v>12</v>
      </c>
      <c r="B649" s="1" t="s">
        <v>267</v>
      </c>
      <c r="C649" s="1">
        <v>974</v>
      </c>
      <c r="D649" s="1" t="s">
        <v>341</v>
      </c>
      <c r="E649" s="1" t="s">
        <v>345</v>
      </c>
      <c r="F649" s="1" t="s">
        <v>348</v>
      </c>
      <c r="G649" s="1">
        <v>47</v>
      </c>
      <c r="H649" s="1">
        <v>6</v>
      </c>
      <c r="I649" s="1" t="s">
        <v>354</v>
      </c>
      <c r="J649" s="1">
        <v>4</v>
      </c>
      <c r="K649" s="17" t="str">
        <f t="shared" si="10"/>
        <v>Mar</v>
      </c>
    </row>
    <row r="650" spans="1:11" x14ac:dyDescent="0.25">
      <c r="A650" s="16" t="s">
        <v>12</v>
      </c>
      <c r="B650" s="1" t="s">
        <v>35</v>
      </c>
      <c r="C650" s="1">
        <v>917</v>
      </c>
      <c r="D650" s="1" t="s">
        <v>340</v>
      </c>
      <c r="E650" s="1" t="s">
        <v>344</v>
      </c>
      <c r="F650" s="1" t="s">
        <v>348</v>
      </c>
      <c r="G650" s="1">
        <v>17</v>
      </c>
      <c r="H650" s="1">
        <v>6</v>
      </c>
      <c r="I650" s="1" t="s">
        <v>354</v>
      </c>
      <c r="J650" s="1">
        <v>2</v>
      </c>
      <c r="K650" s="17" t="str">
        <f t="shared" si="10"/>
        <v>May</v>
      </c>
    </row>
    <row r="651" spans="1:11" x14ac:dyDescent="0.25">
      <c r="A651" s="16" t="s">
        <v>11</v>
      </c>
      <c r="B651" s="1" t="s">
        <v>312</v>
      </c>
      <c r="C651" s="1">
        <v>846</v>
      </c>
      <c r="D651" s="1" t="s">
        <v>342</v>
      </c>
      <c r="E651" s="1" t="s">
        <v>345</v>
      </c>
      <c r="F651" s="1" t="s">
        <v>350</v>
      </c>
      <c r="G651" s="1">
        <v>13</v>
      </c>
      <c r="H651" s="1">
        <v>4</v>
      </c>
      <c r="I651" s="1" t="s">
        <v>351</v>
      </c>
      <c r="J651" s="1">
        <v>0</v>
      </c>
      <c r="K651" s="17" t="str">
        <f t="shared" si="10"/>
        <v>Sep</v>
      </c>
    </row>
    <row r="652" spans="1:11" x14ac:dyDescent="0.25">
      <c r="A652" s="16" t="s">
        <v>12</v>
      </c>
      <c r="B652" s="1" t="s">
        <v>35</v>
      </c>
      <c r="C652" s="1">
        <v>1139</v>
      </c>
      <c r="D652" s="1" t="s">
        <v>340</v>
      </c>
      <c r="E652" s="1" t="s">
        <v>344</v>
      </c>
      <c r="F652" s="1" t="s">
        <v>348</v>
      </c>
      <c r="G652" s="1">
        <v>34</v>
      </c>
      <c r="H652" s="1">
        <v>3</v>
      </c>
      <c r="I652" s="1" t="s">
        <v>354</v>
      </c>
      <c r="J652" s="1">
        <v>3</v>
      </c>
      <c r="K652" s="17" t="str">
        <f t="shared" si="10"/>
        <v>May</v>
      </c>
    </row>
    <row r="653" spans="1:11" x14ac:dyDescent="0.25">
      <c r="A653" s="16" t="s">
        <v>10</v>
      </c>
      <c r="B653" s="4" t="s">
        <v>102</v>
      </c>
      <c r="C653" s="1">
        <v>1438</v>
      </c>
      <c r="D653" s="1" t="s">
        <v>341</v>
      </c>
      <c r="E653" s="1" t="s">
        <v>344</v>
      </c>
      <c r="F653" s="1" t="s">
        <v>349</v>
      </c>
      <c r="G653" s="1">
        <v>43</v>
      </c>
      <c r="H653" s="1">
        <v>9</v>
      </c>
      <c r="I653" s="1" t="s">
        <v>354</v>
      </c>
      <c r="J653" s="1">
        <v>2</v>
      </c>
      <c r="K653" s="17" t="str">
        <f t="shared" si="10"/>
        <v>Jun</v>
      </c>
    </row>
    <row r="654" spans="1:11" x14ac:dyDescent="0.25">
      <c r="A654" s="16" t="s">
        <v>11</v>
      </c>
      <c r="B654" s="4" t="s">
        <v>210</v>
      </c>
      <c r="C654" s="1">
        <v>1454</v>
      </c>
      <c r="D654" s="1" t="s">
        <v>340</v>
      </c>
      <c r="E654" s="1" t="s">
        <v>344</v>
      </c>
      <c r="F654" s="1" t="s">
        <v>349</v>
      </c>
      <c r="G654" s="1">
        <v>40</v>
      </c>
      <c r="H654" s="1">
        <v>0</v>
      </c>
      <c r="I654" s="1" t="s">
        <v>352</v>
      </c>
      <c r="J654" s="1">
        <v>5</v>
      </c>
      <c r="K654" s="17" t="str">
        <f t="shared" si="10"/>
        <v>May</v>
      </c>
    </row>
    <row r="655" spans="1:11" x14ac:dyDescent="0.25">
      <c r="A655" s="16" t="s">
        <v>10</v>
      </c>
      <c r="B655" s="1" t="s">
        <v>321</v>
      </c>
      <c r="C655" s="1">
        <v>1375</v>
      </c>
      <c r="D655" s="1" t="s">
        <v>341</v>
      </c>
      <c r="E655" s="1" t="s">
        <v>343</v>
      </c>
      <c r="F655" s="1" t="s">
        <v>348</v>
      </c>
      <c r="G655" s="1">
        <v>6</v>
      </c>
      <c r="H655" s="1">
        <v>9</v>
      </c>
      <c r="I655" s="1" t="s">
        <v>353</v>
      </c>
      <c r="J655" s="1">
        <v>5</v>
      </c>
      <c r="K655" s="17" t="str">
        <f t="shared" si="10"/>
        <v>Apr</v>
      </c>
    </row>
    <row r="656" spans="1:11" x14ac:dyDescent="0.25">
      <c r="A656" s="16" t="s">
        <v>12</v>
      </c>
      <c r="B656" s="4" t="s">
        <v>322</v>
      </c>
      <c r="C656" s="1">
        <v>1262</v>
      </c>
      <c r="D656" s="1" t="s">
        <v>341</v>
      </c>
      <c r="E656" s="1" t="s">
        <v>345</v>
      </c>
      <c r="F656" s="1" t="s">
        <v>349</v>
      </c>
      <c r="G656" s="1">
        <v>40</v>
      </c>
      <c r="H656" s="1">
        <v>9</v>
      </c>
      <c r="I656" s="1" t="s">
        <v>352</v>
      </c>
      <c r="J656" s="1">
        <v>5</v>
      </c>
      <c r="K656" s="17" t="str">
        <f t="shared" si="10"/>
        <v>Nov</v>
      </c>
    </row>
    <row r="657" spans="1:11" x14ac:dyDescent="0.25">
      <c r="A657" s="16" t="s">
        <v>13</v>
      </c>
      <c r="B657" s="4" t="s">
        <v>220</v>
      </c>
      <c r="C657" s="1">
        <v>1702</v>
      </c>
      <c r="D657" s="1" t="s">
        <v>342</v>
      </c>
      <c r="E657" s="1" t="s">
        <v>345</v>
      </c>
      <c r="F657" s="1" t="s">
        <v>349</v>
      </c>
      <c r="G657" s="1">
        <v>12</v>
      </c>
      <c r="H657" s="1">
        <v>6</v>
      </c>
      <c r="I657" s="1" t="s">
        <v>353</v>
      </c>
      <c r="J657" s="1">
        <v>4</v>
      </c>
      <c r="K657" s="17" t="str">
        <f t="shared" si="10"/>
        <v>Feb</v>
      </c>
    </row>
    <row r="658" spans="1:11" x14ac:dyDescent="0.25">
      <c r="A658" s="16" t="s">
        <v>12</v>
      </c>
      <c r="B658" s="1" t="s">
        <v>203</v>
      </c>
      <c r="C658" s="1">
        <v>1705</v>
      </c>
      <c r="D658" s="1" t="s">
        <v>341</v>
      </c>
      <c r="E658" s="1" t="s">
        <v>344</v>
      </c>
      <c r="F658" s="1" t="s">
        <v>348</v>
      </c>
      <c r="G658" s="1">
        <v>17</v>
      </c>
      <c r="H658" s="1">
        <v>0</v>
      </c>
      <c r="I658" s="1" t="s">
        <v>351</v>
      </c>
      <c r="J658" s="1">
        <v>2</v>
      </c>
      <c r="K658" s="17" t="str">
        <f t="shared" si="10"/>
        <v>Mar</v>
      </c>
    </row>
    <row r="659" spans="1:11" x14ac:dyDescent="0.25">
      <c r="A659" s="16" t="s">
        <v>10</v>
      </c>
      <c r="B659" s="1" t="s">
        <v>25</v>
      </c>
      <c r="C659" s="1">
        <v>1163</v>
      </c>
      <c r="D659" s="1" t="s">
        <v>341</v>
      </c>
      <c r="E659" s="1" t="s">
        <v>344</v>
      </c>
      <c r="F659" s="1" t="s">
        <v>347</v>
      </c>
      <c r="G659" s="1">
        <v>36</v>
      </c>
      <c r="H659" s="1">
        <v>0</v>
      </c>
      <c r="I659" s="1" t="s">
        <v>354</v>
      </c>
      <c r="J659" s="1">
        <v>3</v>
      </c>
      <c r="K659" s="17" t="str">
        <f t="shared" si="10"/>
        <v>Nov</v>
      </c>
    </row>
    <row r="660" spans="1:11" x14ac:dyDescent="0.25">
      <c r="A660" s="16" t="s">
        <v>10</v>
      </c>
      <c r="B660" s="1" t="s">
        <v>192</v>
      </c>
      <c r="C660" s="1">
        <v>524</v>
      </c>
      <c r="D660" s="1" t="s">
        <v>342</v>
      </c>
      <c r="E660" s="1" t="s">
        <v>343</v>
      </c>
      <c r="F660" s="1" t="s">
        <v>350</v>
      </c>
      <c r="G660" s="1">
        <v>12</v>
      </c>
      <c r="H660" s="1">
        <v>4</v>
      </c>
      <c r="I660" s="1" t="s">
        <v>351</v>
      </c>
      <c r="J660" s="1">
        <v>2</v>
      </c>
      <c r="K660" s="17" t="str">
        <f t="shared" si="10"/>
        <v>Nov</v>
      </c>
    </row>
    <row r="661" spans="1:11" x14ac:dyDescent="0.25">
      <c r="A661" s="16" t="s">
        <v>11</v>
      </c>
      <c r="B661" s="4" t="s">
        <v>184</v>
      </c>
      <c r="C661" s="1">
        <v>1703</v>
      </c>
      <c r="D661" s="1" t="s">
        <v>341</v>
      </c>
      <c r="E661" s="1" t="s">
        <v>343</v>
      </c>
      <c r="F661" s="1" t="s">
        <v>349</v>
      </c>
      <c r="G661" s="1">
        <v>35</v>
      </c>
      <c r="H661" s="1">
        <v>8</v>
      </c>
      <c r="I661" s="1" t="s">
        <v>353</v>
      </c>
      <c r="J661" s="1">
        <v>4</v>
      </c>
      <c r="K661" s="17" t="str">
        <f t="shared" si="10"/>
        <v>Nov</v>
      </c>
    </row>
    <row r="662" spans="1:11" x14ac:dyDescent="0.25">
      <c r="A662" s="16" t="s">
        <v>13</v>
      </c>
      <c r="B662" s="1" t="s">
        <v>176</v>
      </c>
      <c r="C662" s="1">
        <v>1209</v>
      </c>
      <c r="D662" s="1" t="s">
        <v>342</v>
      </c>
      <c r="E662" s="1" t="s">
        <v>343</v>
      </c>
      <c r="F662" s="1" t="s">
        <v>347</v>
      </c>
      <c r="G662" s="1">
        <v>30</v>
      </c>
      <c r="H662" s="1">
        <v>5</v>
      </c>
      <c r="I662" s="1" t="s">
        <v>352</v>
      </c>
      <c r="J662" s="1">
        <v>0</v>
      </c>
      <c r="K662" s="17" t="str">
        <f t="shared" si="10"/>
        <v>Oct</v>
      </c>
    </row>
    <row r="663" spans="1:11" x14ac:dyDescent="0.25">
      <c r="A663" s="16" t="s">
        <v>11</v>
      </c>
      <c r="B663" s="4" t="s">
        <v>146</v>
      </c>
      <c r="C663" s="1">
        <v>1684</v>
      </c>
      <c r="D663" s="1" t="s">
        <v>342</v>
      </c>
      <c r="E663" s="1" t="s">
        <v>345</v>
      </c>
      <c r="F663" s="1" t="s">
        <v>349</v>
      </c>
      <c r="G663" s="1">
        <v>1</v>
      </c>
      <c r="H663" s="1">
        <v>2</v>
      </c>
      <c r="I663" s="1" t="s">
        <v>352</v>
      </c>
      <c r="J663" s="1">
        <v>4</v>
      </c>
      <c r="K663" s="17" t="str">
        <f t="shared" si="10"/>
        <v>Jul</v>
      </c>
    </row>
    <row r="664" spans="1:11" x14ac:dyDescent="0.25">
      <c r="A664" s="16" t="s">
        <v>10</v>
      </c>
      <c r="B664" s="4" t="s">
        <v>323</v>
      </c>
      <c r="C664" s="1">
        <v>676</v>
      </c>
      <c r="D664" s="1" t="s">
        <v>341</v>
      </c>
      <c r="E664" s="1" t="s">
        <v>345</v>
      </c>
      <c r="F664" s="1" t="s">
        <v>349</v>
      </c>
      <c r="G664" s="1">
        <v>15</v>
      </c>
      <c r="H664" s="1">
        <v>2</v>
      </c>
      <c r="I664" s="1" t="s">
        <v>351</v>
      </c>
      <c r="J664" s="1">
        <v>5</v>
      </c>
      <c r="K664" s="17" t="str">
        <f t="shared" si="10"/>
        <v>Feb</v>
      </c>
    </row>
    <row r="665" spans="1:11" x14ac:dyDescent="0.25">
      <c r="A665" s="16" t="s">
        <v>12</v>
      </c>
      <c r="B665" s="1" t="s">
        <v>160</v>
      </c>
      <c r="C665" s="1">
        <v>784</v>
      </c>
      <c r="D665" s="1" t="s">
        <v>341</v>
      </c>
      <c r="E665" s="1" t="s">
        <v>345</v>
      </c>
      <c r="F665" s="1" t="s">
        <v>350</v>
      </c>
      <c r="G665" s="1">
        <v>8</v>
      </c>
      <c r="H665" s="1">
        <v>6</v>
      </c>
      <c r="I665" s="1" t="s">
        <v>353</v>
      </c>
      <c r="J665" s="1">
        <v>0</v>
      </c>
      <c r="K665" s="17" t="str">
        <f t="shared" si="10"/>
        <v>Dec</v>
      </c>
    </row>
    <row r="666" spans="1:11" x14ac:dyDescent="0.25">
      <c r="A666" s="16" t="s">
        <v>13</v>
      </c>
      <c r="B666" s="4" t="s">
        <v>198</v>
      </c>
      <c r="C666" s="1">
        <v>562</v>
      </c>
      <c r="D666" s="1" t="s">
        <v>340</v>
      </c>
      <c r="E666" s="1" t="s">
        <v>344</v>
      </c>
      <c r="F666" s="1" t="s">
        <v>349</v>
      </c>
      <c r="G666" s="1">
        <v>8</v>
      </c>
      <c r="H666" s="1">
        <v>5</v>
      </c>
      <c r="I666" s="1" t="s">
        <v>351</v>
      </c>
      <c r="J666" s="1">
        <v>5</v>
      </c>
      <c r="K666" s="17" t="str">
        <f t="shared" si="10"/>
        <v>Mar</v>
      </c>
    </row>
    <row r="667" spans="1:11" x14ac:dyDescent="0.25">
      <c r="A667" s="16" t="s">
        <v>12</v>
      </c>
      <c r="B667" s="1" t="s">
        <v>198</v>
      </c>
      <c r="C667" s="1">
        <v>1502</v>
      </c>
      <c r="D667" s="1" t="s">
        <v>342</v>
      </c>
      <c r="E667" s="1" t="s">
        <v>345</v>
      </c>
      <c r="F667" s="1" t="s">
        <v>350</v>
      </c>
      <c r="G667" s="1">
        <v>37</v>
      </c>
      <c r="H667" s="1">
        <v>8</v>
      </c>
      <c r="I667" s="1" t="s">
        <v>351</v>
      </c>
      <c r="J667" s="1">
        <v>1</v>
      </c>
      <c r="K667" s="17" t="str">
        <f t="shared" si="10"/>
        <v>Mar</v>
      </c>
    </row>
    <row r="668" spans="1:11" x14ac:dyDescent="0.25">
      <c r="A668" s="16" t="s">
        <v>12</v>
      </c>
      <c r="B668" s="1" t="s">
        <v>270</v>
      </c>
      <c r="C668" s="1">
        <v>1161</v>
      </c>
      <c r="D668" s="1" t="s">
        <v>340</v>
      </c>
      <c r="E668" s="1" t="s">
        <v>346</v>
      </c>
      <c r="F668" s="1" t="s">
        <v>350</v>
      </c>
      <c r="G668" s="1">
        <v>10</v>
      </c>
      <c r="H668" s="1">
        <v>5</v>
      </c>
      <c r="I668" s="1" t="s">
        <v>354</v>
      </c>
      <c r="J668" s="1">
        <v>4</v>
      </c>
      <c r="K668" s="17" t="str">
        <f t="shared" si="10"/>
        <v>May</v>
      </c>
    </row>
    <row r="669" spans="1:11" x14ac:dyDescent="0.25">
      <c r="A669" s="16" t="s">
        <v>13</v>
      </c>
      <c r="B669" s="1" t="s">
        <v>138</v>
      </c>
      <c r="C669" s="1">
        <v>1165</v>
      </c>
      <c r="D669" s="1" t="s">
        <v>341</v>
      </c>
      <c r="E669" s="1" t="s">
        <v>346</v>
      </c>
      <c r="F669" s="1" t="s">
        <v>350</v>
      </c>
      <c r="G669" s="1">
        <v>21</v>
      </c>
      <c r="H669" s="1">
        <v>4</v>
      </c>
      <c r="I669" s="1" t="s">
        <v>351</v>
      </c>
      <c r="J669" s="1">
        <v>4</v>
      </c>
      <c r="K669" s="17" t="str">
        <f t="shared" si="10"/>
        <v>Nov</v>
      </c>
    </row>
    <row r="670" spans="1:11" x14ac:dyDescent="0.25">
      <c r="A670" s="16" t="s">
        <v>11</v>
      </c>
      <c r="B670" s="1" t="s">
        <v>44</v>
      </c>
      <c r="C670" s="1">
        <v>655</v>
      </c>
      <c r="D670" s="1" t="s">
        <v>340</v>
      </c>
      <c r="E670" s="1" t="s">
        <v>343</v>
      </c>
      <c r="F670" s="1" t="s">
        <v>347</v>
      </c>
      <c r="G670" s="1">
        <v>32</v>
      </c>
      <c r="H670" s="1">
        <v>9</v>
      </c>
      <c r="I670" s="1" t="s">
        <v>354</v>
      </c>
      <c r="J670" s="1">
        <v>3</v>
      </c>
      <c r="K670" s="17" t="str">
        <f t="shared" si="10"/>
        <v>Dec</v>
      </c>
    </row>
    <row r="671" spans="1:11" x14ac:dyDescent="0.25">
      <c r="A671" s="16" t="s">
        <v>12</v>
      </c>
      <c r="B671" s="1" t="s">
        <v>48</v>
      </c>
      <c r="C671" s="1">
        <v>1992</v>
      </c>
      <c r="D671" s="1" t="s">
        <v>342</v>
      </c>
      <c r="E671" s="1" t="s">
        <v>345</v>
      </c>
      <c r="F671" s="1" t="s">
        <v>348</v>
      </c>
      <c r="G671" s="1">
        <v>35</v>
      </c>
      <c r="H671" s="1">
        <v>6</v>
      </c>
      <c r="I671" s="1" t="s">
        <v>354</v>
      </c>
      <c r="J671" s="1">
        <v>2</v>
      </c>
      <c r="K671" s="17" t="str">
        <f t="shared" si="10"/>
        <v>Oct</v>
      </c>
    </row>
    <row r="672" spans="1:11" x14ac:dyDescent="0.25">
      <c r="A672" s="16" t="s">
        <v>10</v>
      </c>
      <c r="B672" s="1" t="s">
        <v>160</v>
      </c>
      <c r="C672" s="1">
        <v>1572</v>
      </c>
      <c r="D672" s="1" t="s">
        <v>340</v>
      </c>
      <c r="E672" s="1" t="s">
        <v>346</v>
      </c>
      <c r="F672" s="1" t="s">
        <v>347</v>
      </c>
      <c r="G672" s="1">
        <v>44</v>
      </c>
      <c r="H672" s="1">
        <v>0</v>
      </c>
      <c r="I672" s="1" t="s">
        <v>352</v>
      </c>
      <c r="J672" s="1">
        <v>0</v>
      </c>
      <c r="K672" s="17" t="str">
        <f t="shared" si="10"/>
        <v>Dec</v>
      </c>
    </row>
    <row r="673" spans="1:11" x14ac:dyDescent="0.25">
      <c r="A673" s="16" t="s">
        <v>12</v>
      </c>
      <c r="B673" s="1" t="s">
        <v>57</v>
      </c>
      <c r="C673" s="1">
        <v>1466</v>
      </c>
      <c r="D673" s="1" t="s">
        <v>342</v>
      </c>
      <c r="E673" s="1" t="s">
        <v>343</v>
      </c>
      <c r="F673" s="1" t="s">
        <v>348</v>
      </c>
      <c r="G673" s="1">
        <v>22</v>
      </c>
      <c r="H673" s="1">
        <v>6</v>
      </c>
      <c r="I673" s="1" t="s">
        <v>354</v>
      </c>
      <c r="J673" s="1">
        <v>0</v>
      </c>
      <c r="K673" s="17" t="str">
        <f t="shared" si="10"/>
        <v>Mar</v>
      </c>
    </row>
    <row r="674" spans="1:11" x14ac:dyDescent="0.25">
      <c r="A674" s="16" t="s">
        <v>13</v>
      </c>
      <c r="B674" s="1" t="s">
        <v>309</v>
      </c>
      <c r="C674" s="1">
        <v>1348</v>
      </c>
      <c r="D674" s="1" t="s">
        <v>341</v>
      </c>
      <c r="E674" s="1" t="s">
        <v>345</v>
      </c>
      <c r="F674" s="1" t="s">
        <v>348</v>
      </c>
      <c r="G674" s="1">
        <v>44</v>
      </c>
      <c r="H674" s="1">
        <v>2</v>
      </c>
      <c r="I674" s="1" t="s">
        <v>354</v>
      </c>
      <c r="J674" s="1">
        <v>3</v>
      </c>
      <c r="K674" s="17" t="str">
        <f t="shared" si="10"/>
        <v>Sep</v>
      </c>
    </row>
    <row r="675" spans="1:11" x14ac:dyDescent="0.25">
      <c r="A675" s="16" t="s">
        <v>13</v>
      </c>
      <c r="B675" s="1" t="s">
        <v>324</v>
      </c>
      <c r="C675" s="1">
        <v>1607</v>
      </c>
      <c r="D675" s="1" t="s">
        <v>341</v>
      </c>
      <c r="E675" s="1" t="s">
        <v>344</v>
      </c>
      <c r="F675" s="1" t="s">
        <v>350</v>
      </c>
      <c r="G675" s="1">
        <v>44</v>
      </c>
      <c r="H675" s="1">
        <v>8</v>
      </c>
      <c r="I675" s="1" t="s">
        <v>352</v>
      </c>
      <c r="J675" s="1">
        <v>3</v>
      </c>
      <c r="K675" s="17" t="str">
        <f t="shared" si="10"/>
        <v>Mar</v>
      </c>
    </row>
    <row r="676" spans="1:11" x14ac:dyDescent="0.25">
      <c r="A676" s="16" t="s">
        <v>13</v>
      </c>
      <c r="B676" s="4" t="s">
        <v>297</v>
      </c>
      <c r="C676" s="1">
        <v>1884</v>
      </c>
      <c r="D676" s="1" t="s">
        <v>342</v>
      </c>
      <c r="E676" s="1" t="s">
        <v>346</v>
      </c>
      <c r="F676" s="1" t="s">
        <v>349</v>
      </c>
      <c r="G676" s="1">
        <v>33</v>
      </c>
      <c r="H676" s="1">
        <v>5</v>
      </c>
      <c r="I676" s="1" t="s">
        <v>351</v>
      </c>
      <c r="J676" s="1">
        <v>2</v>
      </c>
      <c r="K676" s="17" t="str">
        <f t="shared" si="10"/>
        <v>Jun</v>
      </c>
    </row>
    <row r="677" spans="1:11" x14ac:dyDescent="0.25">
      <c r="A677" s="16" t="s">
        <v>11</v>
      </c>
      <c r="B677" s="1" t="s">
        <v>32</v>
      </c>
      <c r="C677" s="1">
        <v>1188</v>
      </c>
      <c r="D677" s="1" t="s">
        <v>341</v>
      </c>
      <c r="E677" s="1" t="s">
        <v>344</v>
      </c>
      <c r="F677" s="1" t="s">
        <v>350</v>
      </c>
      <c r="G677" s="1">
        <v>8</v>
      </c>
      <c r="H677" s="1">
        <v>8</v>
      </c>
      <c r="I677" s="1" t="s">
        <v>353</v>
      </c>
      <c r="J677" s="1">
        <v>5</v>
      </c>
      <c r="K677" s="17" t="str">
        <f t="shared" si="10"/>
        <v>May</v>
      </c>
    </row>
    <row r="678" spans="1:11" x14ac:dyDescent="0.25">
      <c r="A678" s="16" t="s">
        <v>12</v>
      </c>
      <c r="B678" s="4" t="s">
        <v>287</v>
      </c>
      <c r="C678" s="1">
        <v>647</v>
      </c>
      <c r="D678" s="1" t="s">
        <v>341</v>
      </c>
      <c r="E678" s="1" t="s">
        <v>345</v>
      </c>
      <c r="F678" s="1" t="s">
        <v>349</v>
      </c>
      <c r="G678" s="1">
        <v>23</v>
      </c>
      <c r="H678" s="1">
        <v>4</v>
      </c>
      <c r="I678" s="1" t="s">
        <v>353</v>
      </c>
      <c r="J678" s="1">
        <v>2</v>
      </c>
      <c r="K678" s="17" t="str">
        <f t="shared" si="10"/>
        <v>Nov</v>
      </c>
    </row>
    <row r="679" spans="1:11" x14ac:dyDescent="0.25">
      <c r="A679" s="16" t="s">
        <v>11</v>
      </c>
      <c r="B679" s="1" t="s">
        <v>29</v>
      </c>
      <c r="C679" s="1">
        <v>841</v>
      </c>
      <c r="D679" s="1" t="s">
        <v>341</v>
      </c>
      <c r="E679" s="1" t="s">
        <v>346</v>
      </c>
      <c r="F679" s="1" t="s">
        <v>348</v>
      </c>
      <c r="G679" s="1">
        <v>7</v>
      </c>
      <c r="H679" s="1">
        <v>6</v>
      </c>
      <c r="I679" s="1" t="s">
        <v>353</v>
      </c>
      <c r="J679" s="1">
        <v>4</v>
      </c>
      <c r="K679" s="17" t="str">
        <f t="shared" si="10"/>
        <v>Aug</v>
      </c>
    </row>
    <row r="680" spans="1:11" x14ac:dyDescent="0.25">
      <c r="A680" s="16" t="s">
        <v>11</v>
      </c>
      <c r="B680" s="1" t="s">
        <v>251</v>
      </c>
      <c r="C680" s="1">
        <v>975</v>
      </c>
      <c r="D680" s="1" t="s">
        <v>341</v>
      </c>
      <c r="E680" s="1" t="s">
        <v>345</v>
      </c>
      <c r="F680" s="1" t="s">
        <v>350</v>
      </c>
      <c r="G680" s="1">
        <v>6</v>
      </c>
      <c r="H680" s="1">
        <v>3</v>
      </c>
      <c r="I680" s="1" t="s">
        <v>351</v>
      </c>
      <c r="J680" s="1">
        <v>5</v>
      </c>
      <c r="K680" s="17" t="str">
        <f t="shared" si="10"/>
        <v>Jan</v>
      </c>
    </row>
    <row r="681" spans="1:11" x14ac:dyDescent="0.25">
      <c r="A681" s="16" t="s">
        <v>13</v>
      </c>
      <c r="B681" s="4" t="s">
        <v>191</v>
      </c>
      <c r="C681" s="1">
        <v>1586</v>
      </c>
      <c r="D681" s="1" t="s">
        <v>342</v>
      </c>
      <c r="E681" s="1" t="s">
        <v>344</v>
      </c>
      <c r="F681" s="1" t="s">
        <v>349</v>
      </c>
      <c r="G681" s="1">
        <v>35</v>
      </c>
      <c r="H681" s="1">
        <v>6</v>
      </c>
      <c r="I681" s="1" t="s">
        <v>354</v>
      </c>
      <c r="J681" s="1">
        <v>1</v>
      </c>
      <c r="K681" s="17" t="str">
        <f t="shared" si="10"/>
        <v>Aug</v>
      </c>
    </row>
    <row r="682" spans="1:11" x14ac:dyDescent="0.25">
      <c r="A682" s="16" t="s">
        <v>13</v>
      </c>
      <c r="B682" s="1" t="s">
        <v>44</v>
      </c>
      <c r="C682" s="1">
        <v>1883</v>
      </c>
      <c r="D682" s="1" t="s">
        <v>340</v>
      </c>
      <c r="E682" s="1" t="s">
        <v>346</v>
      </c>
      <c r="F682" s="1" t="s">
        <v>347</v>
      </c>
      <c r="G682" s="1">
        <v>17</v>
      </c>
      <c r="H682" s="1">
        <v>0</v>
      </c>
      <c r="I682" s="1" t="s">
        <v>353</v>
      </c>
      <c r="J682" s="1">
        <v>2</v>
      </c>
      <c r="K682" s="17" t="str">
        <f t="shared" si="10"/>
        <v>Dec</v>
      </c>
    </row>
    <row r="683" spans="1:11" x14ac:dyDescent="0.25">
      <c r="A683" s="16" t="s">
        <v>11</v>
      </c>
      <c r="B683" s="4" t="s">
        <v>65</v>
      </c>
      <c r="C683" s="1">
        <v>1060</v>
      </c>
      <c r="D683" s="1" t="s">
        <v>340</v>
      </c>
      <c r="E683" s="1" t="s">
        <v>344</v>
      </c>
      <c r="F683" s="1" t="s">
        <v>349</v>
      </c>
      <c r="G683" s="1">
        <v>2</v>
      </c>
      <c r="H683" s="1">
        <v>6</v>
      </c>
      <c r="I683" s="1" t="s">
        <v>351</v>
      </c>
      <c r="J683" s="1">
        <v>3</v>
      </c>
      <c r="K683" s="17" t="str">
        <f t="shared" si="10"/>
        <v>Jan</v>
      </c>
    </row>
    <row r="684" spans="1:11" x14ac:dyDescent="0.25">
      <c r="A684" s="16" t="s">
        <v>12</v>
      </c>
      <c r="B684" s="1" t="s">
        <v>28</v>
      </c>
      <c r="C684" s="1">
        <v>826</v>
      </c>
      <c r="D684" s="1" t="s">
        <v>341</v>
      </c>
      <c r="E684" s="1" t="s">
        <v>345</v>
      </c>
      <c r="F684" s="1" t="s">
        <v>350</v>
      </c>
      <c r="G684" s="1">
        <v>27</v>
      </c>
      <c r="H684" s="1">
        <v>7</v>
      </c>
      <c r="I684" s="1" t="s">
        <v>354</v>
      </c>
      <c r="J684" s="1">
        <v>5</v>
      </c>
      <c r="K684" s="17" t="str">
        <f t="shared" si="10"/>
        <v>Jun</v>
      </c>
    </row>
    <row r="685" spans="1:11" x14ac:dyDescent="0.25">
      <c r="A685" s="16" t="s">
        <v>10</v>
      </c>
      <c r="B685" s="1" t="s">
        <v>233</v>
      </c>
      <c r="C685" s="1">
        <v>1664</v>
      </c>
      <c r="D685" s="1" t="s">
        <v>340</v>
      </c>
      <c r="E685" s="1" t="s">
        <v>345</v>
      </c>
      <c r="F685" s="1" t="s">
        <v>347</v>
      </c>
      <c r="G685" s="1">
        <v>5</v>
      </c>
      <c r="H685" s="1">
        <v>4</v>
      </c>
      <c r="I685" s="1" t="s">
        <v>352</v>
      </c>
      <c r="J685" s="1">
        <v>2</v>
      </c>
      <c r="K685" s="17" t="str">
        <f t="shared" si="10"/>
        <v>Nov</v>
      </c>
    </row>
    <row r="686" spans="1:11" x14ac:dyDescent="0.25">
      <c r="A686" s="16" t="s">
        <v>11</v>
      </c>
      <c r="B686" s="4" t="s">
        <v>303</v>
      </c>
      <c r="C686" s="1">
        <v>1489</v>
      </c>
      <c r="D686" s="1" t="s">
        <v>340</v>
      </c>
      <c r="E686" s="1" t="s">
        <v>344</v>
      </c>
      <c r="F686" s="1" t="s">
        <v>349</v>
      </c>
      <c r="G686" s="1">
        <v>43</v>
      </c>
      <c r="H686" s="1">
        <v>1</v>
      </c>
      <c r="I686" s="1" t="s">
        <v>353</v>
      </c>
      <c r="J686" s="1">
        <v>0</v>
      </c>
      <c r="K686" s="17" t="str">
        <f t="shared" si="10"/>
        <v>Feb</v>
      </c>
    </row>
    <row r="687" spans="1:11" x14ac:dyDescent="0.25">
      <c r="A687" s="16" t="s">
        <v>12</v>
      </c>
      <c r="B687" s="4" t="s">
        <v>313</v>
      </c>
      <c r="C687" s="1">
        <v>714</v>
      </c>
      <c r="D687" s="1" t="s">
        <v>341</v>
      </c>
      <c r="E687" s="1" t="s">
        <v>346</v>
      </c>
      <c r="F687" s="1" t="s">
        <v>349</v>
      </c>
      <c r="G687" s="1">
        <v>43</v>
      </c>
      <c r="H687" s="1">
        <v>4</v>
      </c>
      <c r="I687" s="1" t="s">
        <v>354</v>
      </c>
      <c r="J687" s="1">
        <v>1</v>
      </c>
      <c r="K687" s="17" t="str">
        <f t="shared" si="10"/>
        <v>Feb</v>
      </c>
    </row>
    <row r="688" spans="1:11" x14ac:dyDescent="0.25">
      <c r="A688" s="16" t="s">
        <v>13</v>
      </c>
      <c r="B688" s="4" t="s">
        <v>117</v>
      </c>
      <c r="C688" s="1">
        <v>934</v>
      </c>
      <c r="D688" s="1" t="s">
        <v>341</v>
      </c>
      <c r="E688" s="1" t="s">
        <v>344</v>
      </c>
      <c r="F688" s="1" t="s">
        <v>349</v>
      </c>
      <c r="G688" s="1">
        <v>20</v>
      </c>
      <c r="H688" s="1">
        <v>5</v>
      </c>
      <c r="I688" s="1" t="s">
        <v>353</v>
      </c>
      <c r="J688" s="1">
        <v>4</v>
      </c>
      <c r="K688" s="17" t="str">
        <f t="shared" si="10"/>
        <v>Sep</v>
      </c>
    </row>
    <row r="689" spans="1:11" x14ac:dyDescent="0.25">
      <c r="A689" s="16" t="s">
        <v>13</v>
      </c>
      <c r="B689" s="4" t="s">
        <v>130</v>
      </c>
      <c r="C689" s="1">
        <v>1451</v>
      </c>
      <c r="D689" s="1" t="s">
        <v>340</v>
      </c>
      <c r="E689" s="1" t="s">
        <v>345</v>
      </c>
      <c r="F689" s="1" t="s">
        <v>349</v>
      </c>
      <c r="G689" s="1">
        <v>27</v>
      </c>
      <c r="H689" s="1">
        <v>1</v>
      </c>
      <c r="I689" s="1" t="s">
        <v>353</v>
      </c>
      <c r="J689" s="1">
        <v>0</v>
      </c>
      <c r="K689" s="17" t="str">
        <f t="shared" si="10"/>
        <v>Apr</v>
      </c>
    </row>
    <row r="690" spans="1:11" x14ac:dyDescent="0.25">
      <c r="A690" s="16" t="s">
        <v>12</v>
      </c>
      <c r="B690" s="4" t="s">
        <v>183</v>
      </c>
      <c r="C690" s="1">
        <v>1222</v>
      </c>
      <c r="D690" s="1" t="s">
        <v>342</v>
      </c>
      <c r="E690" s="1" t="s">
        <v>344</v>
      </c>
      <c r="F690" s="1" t="s">
        <v>349</v>
      </c>
      <c r="G690" s="1">
        <v>39</v>
      </c>
      <c r="H690" s="1">
        <v>5</v>
      </c>
      <c r="I690" s="1" t="s">
        <v>353</v>
      </c>
      <c r="J690" s="1">
        <v>0</v>
      </c>
      <c r="K690" s="17" t="str">
        <f t="shared" si="10"/>
        <v>Oct</v>
      </c>
    </row>
    <row r="691" spans="1:11" x14ac:dyDescent="0.25">
      <c r="A691" s="16" t="s">
        <v>10</v>
      </c>
      <c r="B691" s="1" t="s">
        <v>36</v>
      </c>
      <c r="C691" s="1">
        <v>1841</v>
      </c>
      <c r="D691" s="1" t="s">
        <v>341</v>
      </c>
      <c r="E691" s="1" t="s">
        <v>345</v>
      </c>
      <c r="F691" s="1" t="s">
        <v>347</v>
      </c>
      <c r="G691" s="1">
        <v>0</v>
      </c>
      <c r="H691" s="1">
        <v>5</v>
      </c>
      <c r="I691" s="1" t="s">
        <v>354</v>
      </c>
      <c r="J691" s="1">
        <v>1</v>
      </c>
      <c r="K691" s="17" t="str">
        <f t="shared" si="10"/>
        <v>Jan</v>
      </c>
    </row>
    <row r="692" spans="1:11" x14ac:dyDescent="0.25">
      <c r="A692" s="16" t="s">
        <v>13</v>
      </c>
      <c r="B692" s="1" t="s">
        <v>325</v>
      </c>
      <c r="C692" s="1">
        <v>531</v>
      </c>
      <c r="D692" s="1" t="s">
        <v>342</v>
      </c>
      <c r="E692" s="1" t="s">
        <v>344</v>
      </c>
      <c r="F692" s="1" t="s">
        <v>348</v>
      </c>
      <c r="G692" s="1">
        <v>35</v>
      </c>
      <c r="H692" s="1">
        <v>0</v>
      </c>
      <c r="I692" s="1" t="s">
        <v>351</v>
      </c>
      <c r="J692" s="1">
        <v>4</v>
      </c>
      <c r="K692" s="17" t="str">
        <f t="shared" si="10"/>
        <v>Nov</v>
      </c>
    </row>
    <row r="693" spans="1:11" x14ac:dyDescent="0.25">
      <c r="A693" s="16" t="s">
        <v>13</v>
      </c>
      <c r="B693" s="1" t="s">
        <v>156</v>
      </c>
      <c r="C693" s="1">
        <v>1169</v>
      </c>
      <c r="D693" s="1" t="s">
        <v>340</v>
      </c>
      <c r="E693" s="1" t="s">
        <v>346</v>
      </c>
      <c r="F693" s="1" t="s">
        <v>347</v>
      </c>
      <c r="G693" s="1">
        <v>20</v>
      </c>
      <c r="H693" s="1">
        <v>0</v>
      </c>
      <c r="I693" s="1" t="s">
        <v>354</v>
      </c>
      <c r="J693" s="1">
        <v>3</v>
      </c>
      <c r="K693" s="17" t="str">
        <f t="shared" si="10"/>
        <v>Feb</v>
      </c>
    </row>
    <row r="694" spans="1:11" x14ac:dyDescent="0.25">
      <c r="A694" s="16" t="s">
        <v>13</v>
      </c>
      <c r="B694" s="1" t="s">
        <v>132</v>
      </c>
      <c r="C694" s="1">
        <v>784</v>
      </c>
      <c r="D694" s="1" t="s">
        <v>341</v>
      </c>
      <c r="E694" s="1" t="s">
        <v>346</v>
      </c>
      <c r="F694" s="1" t="s">
        <v>347</v>
      </c>
      <c r="G694" s="1">
        <v>42</v>
      </c>
      <c r="H694" s="1">
        <v>10</v>
      </c>
      <c r="I694" s="1" t="s">
        <v>353</v>
      </c>
      <c r="J694" s="1">
        <v>5</v>
      </c>
      <c r="K694" s="17" t="str">
        <f t="shared" si="10"/>
        <v>Feb</v>
      </c>
    </row>
    <row r="695" spans="1:11" x14ac:dyDescent="0.25">
      <c r="A695" s="16" t="s">
        <v>12</v>
      </c>
      <c r="B695" s="1" t="s">
        <v>255</v>
      </c>
      <c r="C695" s="1">
        <v>1828</v>
      </c>
      <c r="D695" s="1" t="s">
        <v>342</v>
      </c>
      <c r="E695" s="1" t="s">
        <v>344</v>
      </c>
      <c r="F695" s="1" t="s">
        <v>347</v>
      </c>
      <c r="G695" s="1">
        <v>34</v>
      </c>
      <c r="H695" s="1">
        <v>9</v>
      </c>
      <c r="I695" s="1" t="s">
        <v>354</v>
      </c>
      <c r="J695" s="1">
        <v>4</v>
      </c>
      <c r="K695" s="17" t="str">
        <f t="shared" si="10"/>
        <v>Oct</v>
      </c>
    </row>
    <row r="696" spans="1:11" x14ac:dyDescent="0.25">
      <c r="A696" s="16" t="s">
        <v>11</v>
      </c>
      <c r="B696" s="1" t="s">
        <v>63</v>
      </c>
      <c r="C696" s="1">
        <v>928</v>
      </c>
      <c r="D696" s="1" t="s">
        <v>341</v>
      </c>
      <c r="E696" s="1" t="s">
        <v>344</v>
      </c>
      <c r="F696" s="1" t="s">
        <v>348</v>
      </c>
      <c r="G696" s="1">
        <v>12</v>
      </c>
      <c r="H696" s="1">
        <v>2</v>
      </c>
      <c r="I696" s="1" t="s">
        <v>352</v>
      </c>
      <c r="J696" s="1">
        <v>2</v>
      </c>
      <c r="K696" s="17" t="str">
        <f t="shared" si="10"/>
        <v>Jan</v>
      </c>
    </row>
    <row r="697" spans="1:11" x14ac:dyDescent="0.25">
      <c r="A697" s="16" t="s">
        <v>13</v>
      </c>
      <c r="B697" s="1" t="s">
        <v>139</v>
      </c>
      <c r="C697" s="1">
        <v>2000</v>
      </c>
      <c r="D697" s="1" t="s">
        <v>340</v>
      </c>
      <c r="E697" s="1" t="s">
        <v>346</v>
      </c>
      <c r="F697" s="1" t="s">
        <v>350</v>
      </c>
      <c r="G697" s="1">
        <v>48</v>
      </c>
      <c r="H697" s="1">
        <v>9</v>
      </c>
      <c r="I697" s="1" t="s">
        <v>351</v>
      </c>
      <c r="J697" s="1">
        <v>0</v>
      </c>
      <c r="K697" s="17" t="str">
        <f t="shared" si="10"/>
        <v>Oct</v>
      </c>
    </row>
    <row r="698" spans="1:11" x14ac:dyDescent="0.25">
      <c r="A698" s="16" t="s">
        <v>11</v>
      </c>
      <c r="B698" s="1" t="s">
        <v>217</v>
      </c>
      <c r="C698" s="1">
        <v>785</v>
      </c>
      <c r="D698" s="1" t="s">
        <v>342</v>
      </c>
      <c r="E698" s="1" t="s">
        <v>345</v>
      </c>
      <c r="F698" s="1" t="s">
        <v>348</v>
      </c>
      <c r="G698" s="1">
        <v>9</v>
      </c>
      <c r="H698" s="1">
        <v>9</v>
      </c>
      <c r="I698" s="1" t="s">
        <v>354</v>
      </c>
      <c r="J698" s="1">
        <v>2</v>
      </c>
      <c r="K698" s="17" t="str">
        <f t="shared" si="10"/>
        <v>Jan</v>
      </c>
    </row>
    <row r="699" spans="1:11" x14ac:dyDescent="0.25">
      <c r="A699" s="16" t="s">
        <v>10</v>
      </c>
      <c r="B699" s="1" t="s">
        <v>65</v>
      </c>
      <c r="C699" s="1">
        <v>1667</v>
      </c>
      <c r="D699" s="1" t="s">
        <v>340</v>
      </c>
      <c r="E699" s="1" t="s">
        <v>346</v>
      </c>
      <c r="F699" s="1" t="s">
        <v>347</v>
      </c>
      <c r="G699" s="1">
        <v>43</v>
      </c>
      <c r="H699" s="1">
        <v>2</v>
      </c>
      <c r="I699" s="1" t="s">
        <v>352</v>
      </c>
      <c r="J699" s="1">
        <v>3</v>
      </c>
      <c r="K699" s="17" t="str">
        <f t="shared" si="10"/>
        <v>Jan</v>
      </c>
    </row>
    <row r="700" spans="1:11" x14ac:dyDescent="0.25">
      <c r="A700" s="16" t="s">
        <v>13</v>
      </c>
      <c r="B700" s="4" t="s">
        <v>117</v>
      </c>
      <c r="C700" s="1">
        <v>1947</v>
      </c>
      <c r="D700" s="1" t="s">
        <v>340</v>
      </c>
      <c r="E700" s="1" t="s">
        <v>345</v>
      </c>
      <c r="F700" s="1" t="s">
        <v>349</v>
      </c>
      <c r="G700" s="1">
        <v>46</v>
      </c>
      <c r="H700" s="1">
        <v>3</v>
      </c>
      <c r="I700" s="1" t="s">
        <v>351</v>
      </c>
      <c r="J700" s="1">
        <v>2</v>
      </c>
      <c r="K700" s="17" t="str">
        <f t="shared" si="10"/>
        <v>Sep</v>
      </c>
    </row>
    <row r="701" spans="1:11" x14ac:dyDescent="0.25">
      <c r="A701" s="16" t="s">
        <v>13</v>
      </c>
      <c r="B701" s="4" t="s">
        <v>55</v>
      </c>
      <c r="C701" s="1">
        <v>1542</v>
      </c>
      <c r="D701" s="1" t="s">
        <v>341</v>
      </c>
      <c r="E701" s="1" t="s">
        <v>344</v>
      </c>
      <c r="F701" s="1" t="s">
        <v>349</v>
      </c>
      <c r="G701" s="1">
        <v>9</v>
      </c>
      <c r="H701" s="1">
        <v>1</v>
      </c>
      <c r="I701" s="1" t="s">
        <v>352</v>
      </c>
      <c r="J701" s="1">
        <v>4</v>
      </c>
      <c r="K701" s="17" t="str">
        <f t="shared" si="10"/>
        <v>Feb</v>
      </c>
    </row>
    <row r="702" spans="1:11" x14ac:dyDescent="0.25">
      <c r="A702" s="16" t="s">
        <v>10</v>
      </c>
      <c r="B702" s="1" t="s">
        <v>183</v>
      </c>
      <c r="C702" s="1">
        <v>517</v>
      </c>
      <c r="D702" s="1" t="s">
        <v>342</v>
      </c>
      <c r="E702" s="1" t="s">
        <v>344</v>
      </c>
      <c r="F702" s="1" t="s">
        <v>347</v>
      </c>
      <c r="G702" s="1">
        <v>45</v>
      </c>
      <c r="H702" s="1">
        <v>8</v>
      </c>
      <c r="I702" s="1" t="s">
        <v>351</v>
      </c>
      <c r="J702" s="1">
        <v>2</v>
      </c>
      <c r="K702" s="17" t="str">
        <f t="shared" si="10"/>
        <v>Oct</v>
      </c>
    </row>
    <row r="703" spans="1:11" x14ac:dyDescent="0.25">
      <c r="A703" s="16" t="s">
        <v>13</v>
      </c>
      <c r="B703" s="4" t="s">
        <v>196</v>
      </c>
      <c r="C703" s="1">
        <v>1268</v>
      </c>
      <c r="D703" s="1" t="s">
        <v>340</v>
      </c>
      <c r="E703" s="1" t="s">
        <v>345</v>
      </c>
      <c r="F703" s="1" t="s">
        <v>349</v>
      </c>
      <c r="G703" s="1">
        <v>12</v>
      </c>
      <c r="H703" s="1">
        <v>9</v>
      </c>
      <c r="I703" s="1" t="s">
        <v>354</v>
      </c>
      <c r="J703" s="1">
        <v>3</v>
      </c>
      <c r="K703" s="17" t="str">
        <f t="shared" si="10"/>
        <v>Aug</v>
      </c>
    </row>
    <row r="704" spans="1:11" x14ac:dyDescent="0.25">
      <c r="A704" s="16" t="s">
        <v>11</v>
      </c>
      <c r="B704" s="1" t="s">
        <v>69</v>
      </c>
      <c r="C704" s="1">
        <v>1089</v>
      </c>
      <c r="D704" s="1" t="s">
        <v>340</v>
      </c>
      <c r="E704" s="1" t="s">
        <v>344</v>
      </c>
      <c r="F704" s="1" t="s">
        <v>347</v>
      </c>
      <c r="G704" s="1">
        <v>36</v>
      </c>
      <c r="H704" s="1">
        <v>10</v>
      </c>
      <c r="I704" s="1" t="s">
        <v>352</v>
      </c>
      <c r="J704" s="1">
        <v>3</v>
      </c>
      <c r="K704" s="17" t="str">
        <f t="shared" si="10"/>
        <v>Feb</v>
      </c>
    </row>
    <row r="705" spans="1:11" x14ac:dyDescent="0.25">
      <c r="A705" s="16" t="s">
        <v>12</v>
      </c>
      <c r="B705" s="4" t="s">
        <v>204</v>
      </c>
      <c r="C705" s="1">
        <v>1894</v>
      </c>
      <c r="D705" s="1" t="s">
        <v>342</v>
      </c>
      <c r="E705" s="1" t="s">
        <v>345</v>
      </c>
      <c r="F705" s="1" t="s">
        <v>349</v>
      </c>
      <c r="G705" s="1">
        <v>37</v>
      </c>
      <c r="H705" s="1">
        <v>6</v>
      </c>
      <c r="I705" s="1" t="s">
        <v>353</v>
      </c>
      <c r="J705" s="1">
        <v>3</v>
      </c>
      <c r="K705" s="17" t="str">
        <f t="shared" si="10"/>
        <v>Apr</v>
      </c>
    </row>
    <row r="706" spans="1:11" x14ac:dyDescent="0.25">
      <c r="A706" s="16" t="s">
        <v>11</v>
      </c>
      <c r="B706" s="1" t="s">
        <v>210</v>
      </c>
      <c r="C706" s="1">
        <v>1698</v>
      </c>
      <c r="D706" s="1" t="s">
        <v>340</v>
      </c>
      <c r="E706" s="1" t="s">
        <v>343</v>
      </c>
      <c r="F706" s="1" t="s">
        <v>348</v>
      </c>
      <c r="G706" s="1">
        <v>23</v>
      </c>
      <c r="H706" s="1">
        <v>6</v>
      </c>
      <c r="I706" s="1" t="s">
        <v>352</v>
      </c>
      <c r="J706" s="1">
        <v>4</v>
      </c>
      <c r="K706" s="17" t="str">
        <f t="shared" si="10"/>
        <v>May</v>
      </c>
    </row>
    <row r="707" spans="1:11" x14ac:dyDescent="0.25">
      <c r="A707" s="16" t="s">
        <v>12</v>
      </c>
      <c r="B707" s="1" t="s">
        <v>316</v>
      </c>
      <c r="C707" s="1">
        <v>1509</v>
      </c>
      <c r="D707" s="1" t="s">
        <v>340</v>
      </c>
      <c r="E707" s="1" t="s">
        <v>346</v>
      </c>
      <c r="F707" s="1" t="s">
        <v>350</v>
      </c>
      <c r="G707" s="1">
        <v>1</v>
      </c>
      <c r="H707" s="1">
        <v>5</v>
      </c>
      <c r="I707" s="1" t="s">
        <v>351</v>
      </c>
      <c r="J707" s="1">
        <v>3</v>
      </c>
      <c r="K707" s="17" t="str">
        <f t="shared" si="10"/>
        <v>Mar</v>
      </c>
    </row>
    <row r="708" spans="1:11" x14ac:dyDescent="0.25">
      <c r="A708" s="16" t="s">
        <v>12</v>
      </c>
      <c r="B708" s="1" t="s">
        <v>16</v>
      </c>
      <c r="C708" s="1">
        <v>693</v>
      </c>
      <c r="D708" s="1" t="s">
        <v>342</v>
      </c>
      <c r="E708" s="1" t="s">
        <v>343</v>
      </c>
      <c r="F708" s="1" t="s">
        <v>350</v>
      </c>
      <c r="G708" s="1">
        <v>21</v>
      </c>
      <c r="H708" s="1">
        <v>2</v>
      </c>
      <c r="I708" s="1" t="s">
        <v>354</v>
      </c>
      <c r="J708" s="1">
        <v>0</v>
      </c>
      <c r="K708" s="17" t="str">
        <f t="shared" ref="K708:K771" si="11">TEXT(B708,"mmm")</f>
        <v>Jan</v>
      </c>
    </row>
    <row r="709" spans="1:11" x14ac:dyDescent="0.25">
      <c r="A709" s="16" t="s">
        <v>11</v>
      </c>
      <c r="B709" s="1" t="s">
        <v>207</v>
      </c>
      <c r="C709" s="1">
        <v>1001</v>
      </c>
      <c r="D709" s="1" t="s">
        <v>342</v>
      </c>
      <c r="E709" s="1" t="s">
        <v>345</v>
      </c>
      <c r="F709" s="1" t="s">
        <v>348</v>
      </c>
      <c r="G709" s="1">
        <v>16</v>
      </c>
      <c r="H709" s="1">
        <v>5</v>
      </c>
      <c r="I709" s="1" t="s">
        <v>351</v>
      </c>
      <c r="J709" s="1">
        <v>3</v>
      </c>
      <c r="K709" s="17" t="str">
        <f t="shared" si="11"/>
        <v>Feb</v>
      </c>
    </row>
    <row r="710" spans="1:11" x14ac:dyDescent="0.25">
      <c r="A710" s="16" t="s">
        <v>11</v>
      </c>
      <c r="B710" s="1" t="s">
        <v>131</v>
      </c>
      <c r="C710" s="1">
        <v>1487</v>
      </c>
      <c r="D710" s="1" t="s">
        <v>342</v>
      </c>
      <c r="E710" s="1" t="s">
        <v>346</v>
      </c>
      <c r="F710" s="1" t="s">
        <v>348</v>
      </c>
      <c r="G710" s="1">
        <v>35</v>
      </c>
      <c r="H710" s="1">
        <v>7</v>
      </c>
      <c r="I710" s="1" t="s">
        <v>352</v>
      </c>
      <c r="J710" s="1">
        <v>2</v>
      </c>
      <c r="K710" s="17" t="str">
        <f t="shared" si="11"/>
        <v>Dec</v>
      </c>
    </row>
    <row r="711" spans="1:11" x14ac:dyDescent="0.25">
      <c r="A711" s="16" t="s">
        <v>11</v>
      </c>
      <c r="B711" s="1" t="s">
        <v>326</v>
      </c>
      <c r="C711" s="1">
        <v>1636</v>
      </c>
      <c r="D711" s="1" t="s">
        <v>342</v>
      </c>
      <c r="E711" s="1" t="s">
        <v>345</v>
      </c>
      <c r="F711" s="1" t="s">
        <v>347</v>
      </c>
      <c r="G711" s="1">
        <v>13</v>
      </c>
      <c r="H711" s="1">
        <v>7</v>
      </c>
      <c r="I711" s="1" t="s">
        <v>352</v>
      </c>
      <c r="J711" s="1">
        <v>5</v>
      </c>
      <c r="K711" s="17" t="str">
        <f t="shared" si="11"/>
        <v>Jan</v>
      </c>
    </row>
    <row r="712" spans="1:11" x14ac:dyDescent="0.25">
      <c r="A712" s="16" t="s">
        <v>11</v>
      </c>
      <c r="B712" s="1" t="s">
        <v>108</v>
      </c>
      <c r="C712" s="1">
        <v>613</v>
      </c>
      <c r="D712" s="1" t="s">
        <v>341</v>
      </c>
      <c r="E712" s="1" t="s">
        <v>346</v>
      </c>
      <c r="F712" s="1" t="s">
        <v>347</v>
      </c>
      <c r="G712" s="1">
        <v>9</v>
      </c>
      <c r="H712" s="1">
        <v>10</v>
      </c>
      <c r="I712" s="1" t="s">
        <v>353</v>
      </c>
      <c r="J712" s="1">
        <v>2</v>
      </c>
      <c r="K712" s="17" t="str">
        <f t="shared" si="11"/>
        <v>Jul</v>
      </c>
    </row>
    <row r="713" spans="1:11" x14ac:dyDescent="0.25">
      <c r="A713" s="16" t="s">
        <v>10</v>
      </c>
      <c r="B713" s="1" t="s">
        <v>134</v>
      </c>
      <c r="C713" s="1">
        <v>1745</v>
      </c>
      <c r="D713" s="1" t="s">
        <v>342</v>
      </c>
      <c r="E713" s="1" t="s">
        <v>346</v>
      </c>
      <c r="F713" s="1" t="s">
        <v>347</v>
      </c>
      <c r="G713" s="1">
        <v>34</v>
      </c>
      <c r="H713" s="1">
        <v>8</v>
      </c>
      <c r="I713" s="1" t="s">
        <v>354</v>
      </c>
      <c r="J713" s="1">
        <v>5</v>
      </c>
      <c r="K713" s="17" t="str">
        <f t="shared" si="11"/>
        <v>Jan</v>
      </c>
    </row>
    <row r="714" spans="1:11" x14ac:dyDescent="0.25">
      <c r="A714" s="16" t="s">
        <v>13</v>
      </c>
      <c r="B714" s="4" t="s">
        <v>125</v>
      </c>
      <c r="C714" s="1">
        <v>1446</v>
      </c>
      <c r="D714" s="1" t="s">
        <v>341</v>
      </c>
      <c r="E714" s="1" t="s">
        <v>346</v>
      </c>
      <c r="F714" s="1" t="s">
        <v>349</v>
      </c>
      <c r="G714" s="1">
        <v>24</v>
      </c>
      <c r="H714" s="1">
        <v>0</v>
      </c>
      <c r="I714" s="1" t="s">
        <v>354</v>
      </c>
      <c r="J714" s="1">
        <v>2</v>
      </c>
      <c r="K714" s="17" t="str">
        <f t="shared" si="11"/>
        <v>Mar</v>
      </c>
    </row>
    <row r="715" spans="1:11" x14ac:dyDescent="0.25">
      <c r="A715" s="16" t="s">
        <v>12</v>
      </c>
      <c r="B715" s="1" t="s">
        <v>173</v>
      </c>
      <c r="C715" s="1">
        <v>1330</v>
      </c>
      <c r="D715" s="1" t="s">
        <v>341</v>
      </c>
      <c r="E715" s="1" t="s">
        <v>346</v>
      </c>
      <c r="F715" s="1" t="s">
        <v>347</v>
      </c>
      <c r="G715" s="1">
        <v>2</v>
      </c>
      <c r="H715" s="1">
        <v>0</v>
      </c>
      <c r="I715" s="1" t="s">
        <v>352</v>
      </c>
      <c r="J715" s="1">
        <v>4</v>
      </c>
      <c r="K715" s="17" t="str">
        <f t="shared" si="11"/>
        <v>Jan</v>
      </c>
    </row>
    <row r="716" spans="1:11" x14ac:dyDescent="0.25">
      <c r="A716" s="16" t="s">
        <v>11</v>
      </c>
      <c r="B716" s="1" t="s">
        <v>327</v>
      </c>
      <c r="C716" s="1">
        <v>1787</v>
      </c>
      <c r="D716" s="1" t="s">
        <v>341</v>
      </c>
      <c r="E716" s="1" t="s">
        <v>345</v>
      </c>
      <c r="F716" s="1" t="s">
        <v>348</v>
      </c>
      <c r="G716" s="1">
        <v>46</v>
      </c>
      <c r="H716" s="1">
        <v>2</v>
      </c>
      <c r="I716" s="1" t="s">
        <v>354</v>
      </c>
      <c r="J716" s="1">
        <v>2</v>
      </c>
      <c r="K716" s="17" t="str">
        <f t="shared" si="11"/>
        <v>Sep</v>
      </c>
    </row>
    <row r="717" spans="1:11" x14ac:dyDescent="0.25">
      <c r="A717" s="16" t="s">
        <v>11</v>
      </c>
      <c r="B717" s="1" t="s">
        <v>237</v>
      </c>
      <c r="C717" s="1">
        <v>1424</v>
      </c>
      <c r="D717" s="1" t="s">
        <v>340</v>
      </c>
      <c r="E717" s="1" t="s">
        <v>346</v>
      </c>
      <c r="F717" s="1" t="s">
        <v>350</v>
      </c>
      <c r="G717" s="1">
        <v>37</v>
      </c>
      <c r="H717" s="1">
        <v>2</v>
      </c>
      <c r="I717" s="1" t="s">
        <v>353</v>
      </c>
      <c r="J717" s="1">
        <v>4</v>
      </c>
      <c r="K717" s="17" t="str">
        <f t="shared" si="11"/>
        <v>Jul</v>
      </c>
    </row>
    <row r="718" spans="1:11" x14ac:dyDescent="0.25">
      <c r="A718" s="16" t="s">
        <v>11</v>
      </c>
      <c r="B718" s="4" t="s">
        <v>257</v>
      </c>
      <c r="C718" s="1">
        <v>554</v>
      </c>
      <c r="D718" s="1" t="s">
        <v>341</v>
      </c>
      <c r="E718" s="1" t="s">
        <v>346</v>
      </c>
      <c r="F718" s="1" t="s">
        <v>349</v>
      </c>
      <c r="G718" s="1">
        <v>16</v>
      </c>
      <c r="H718" s="1">
        <v>9</v>
      </c>
      <c r="I718" s="1" t="s">
        <v>351</v>
      </c>
      <c r="J718" s="1">
        <v>4</v>
      </c>
      <c r="K718" s="17" t="str">
        <f t="shared" si="11"/>
        <v>Jul</v>
      </c>
    </row>
    <row r="719" spans="1:11" x14ac:dyDescent="0.25">
      <c r="A719" s="16" t="s">
        <v>10</v>
      </c>
      <c r="B719" s="1" t="s">
        <v>48</v>
      </c>
      <c r="C719" s="1">
        <v>1299</v>
      </c>
      <c r="D719" s="1" t="s">
        <v>341</v>
      </c>
      <c r="E719" s="1" t="s">
        <v>343</v>
      </c>
      <c r="F719" s="1" t="s">
        <v>347</v>
      </c>
      <c r="G719" s="1">
        <v>11</v>
      </c>
      <c r="H719" s="1">
        <v>7</v>
      </c>
      <c r="I719" s="1" t="s">
        <v>354</v>
      </c>
      <c r="J719" s="1">
        <v>3</v>
      </c>
      <c r="K719" s="17" t="str">
        <f t="shared" si="11"/>
        <v>Oct</v>
      </c>
    </row>
    <row r="720" spans="1:11" x14ac:dyDescent="0.25">
      <c r="A720" s="16" t="s">
        <v>11</v>
      </c>
      <c r="B720" s="4" t="s">
        <v>116</v>
      </c>
      <c r="C720" s="1">
        <v>1277</v>
      </c>
      <c r="D720" s="1" t="s">
        <v>340</v>
      </c>
      <c r="E720" s="1" t="s">
        <v>344</v>
      </c>
      <c r="F720" s="1" t="s">
        <v>349</v>
      </c>
      <c r="G720" s="1">
        <v>23</v>
      </c>
      <c r="H720" s="1">
        <v>9</v>
      </c>
      <c r="I720" s="1" t="s">
        <v>352</v>
      </c>
      <c r="J720" s="1">
        <v>0</v>
      </c>
      <c r="K720" s="17" t="str">
        <f t="shared" si="11"/>
        <v>May</v>
      </c>
    </row>
    <row r="721" spans="1:11" x14ac:dyDescent="0.25">
      <c r="A721" s="16" t="s">
        <v>11</v>
      </c>
      <c r="B721" s="4" t="s">
        <v>328</v>
      </c>
      <c r="C721" s="1">
        <v>1981</v>
      </c>
      <c r="D721" s="1" t="s">
        <v>340</v>
      </c>
      <c r="E721" s="1" t="s">
        <v>344</v>
      </c>
      <c r="F721" s="1" t="s">
        <v>349</v>
      </c>
      <c r="G721" s="1">
        <v>28</v>
      </c>
      <c r="H721" s="1">
        <v>0</v>
      </c>
      <c r="I721" s="1" t="s">
        <v>351</v>
      </c>
      <c r="J721" s="1">
        <v>5</v>
      </c>
      <c r="K721" s="17" t="str">
        <f t="shared" si="11"/>
        <v>Jun</v>
      </c>
    </row>
    <row r="722" spans="1:11" x14ac:dyDescent="0.25">
      <c r="A722" s="16" t="s">
        <v>11</v>
      </c>
      <c r="B722" s="1" t="s">
        <v>37</v>
      </c>
      <c r="C722" s="1">
        <v>661</v>
      </c>
      <c r="D722" s="1" t="s">
        <v>340</v>
      </c>
      <c r="E722" s="1" t="s">
        <v>343</v>
      </c>
      <c r="F722" s="1" t="s">
        <v>347</v>
      </c>
      <c r="G722" s="1">
        <v>42</v>
      </c>
      <c r="H722" s="1">
        <v>1</v>
      </c>
      <c r="I722" s="1" t="s">
        <v>351</v>
      </c>
      <c r="J722" s="1">
        <v>3</v>
      </c>
      <c r="K722" s="17" t="str">
        <f t="shared" si="11"/>
        <v>Aug</v>
      </c>
    </row>
    <row r="723" spans="1:11" x14ac:dyDescent="0.25">
      <c r="A723" s="16" t="s">
        <v>13</v>
      </c>
      <c r="B723" s="4" t="s">
        <v>329</v>
      </c>
      <c r="C723" s="1">
        <v>1903</v>
      </c>
      <c r="D723" s="1" t="s">
        <v>342</v>
      </c>
      <c r="E723" s="1" t="s">
        <v>343</v>
      </c>
      <c r="F723" s="1" t="s">
        <v>349</v>
      </c>
      <c r="G723" s="1">
        <v>24</v>
      </c>
      <c r="H723" s="1">
        <v>1</v>
      </c>
      <c r="I723" s="1" t="s">
        <v>353</v>
      </c>
      <c r="J723" s="1">
        <v>3</v>
      </c>
      <c r="K723" s="17" t="str">
        <f t="shared" si="11"/>
        <v>May</v>
      </c>
    </row>
    <row r="724" spans="1:11" x14ac:dyDescent="0.25">
      <c r="A724" s="16" t="s">
        <v>10</v>
      </c>
      <c r="B724" s="1" t="s">
        <v>75</v>
      </c>
      <c r="C724" s="1">
        <v>586</v>
      </c>
      <c r="D724" s="1" t="s">
        <v>340</v>
      </c>
      <c r="E724" s="1" t="s">
        <v>345</v>
      </c>
      <c r="F724" s="1" t="s">
        <v>350</v>
      </c>
      <c r="G724" s="1">
        <v>35</v>
      </c>
      <c r="H724" s="1">
        <v>2</v>
      </c>
      <c r="I724" s="1" t="s">
        <v>352</v>
      </c>
      <c r="J724" s="1">
        <v>4</v>
      </c>
      <c r="K724" s="17" t="str">
        <f t="shared" si="11"/>
        <v>Mar</v>
      </c>
    </row>
    <row r="725" spans="1:11" x14ac:dyDescent="0.25">
      <c r="A725" s="16" t="s">
        <v>11</v>
      </c>
      <c r="B725" s="1" t="s">
        <v>206</v>
      </c>
      <c r="C725" s="1">
        <v>554</v>
      </c>
      <c r="D725" s="1" t="s">
        <v>340</v>
      </c>
      <c r="E725" s="1" t="s">
        <v>345</v>
      </c>
      <c r="F725" s="1" t="s">
        <v>348</v>
      </c>
      <c r="G725" s="1">
        <v>25</v>
      </c>
      <c r="H725" s="1">
        <v>5</v>
      </c>
      <c r="I725" s="1" t="s">
        <v>354</v>
      </c>
      <c r="J725" s="1">
        <v>4</v>
      </c>
      <c r="K725" s="17" t="str">
        <f t="shared" si="11"/>
        <v>Mar</v>
      </c>
    </row>
    <row r="726" spans="1:11" x14ac:dyDescent="0.25">
      <c r="A726" s="16" t="s">
        <v>12</v>
      </c>
      <c r="B726" s="1" t="s">
        <v>270</v>
      </c>
      <c r="C726" s="1">
        <v>1999</v>
      </c>
      <c r="D726" s="1" t="s">
        <v>341</v>
      </c>
      <c r="E726" s="1" t="s">
        <v>345</v>
      </c>
      <c r="F726" s="1" t="s">
        <v>348</v>
      </c>
      <c r="G726" s="1">
        <v>37</v>
      </c>
      <c r="H726" s="1">
        <v>0</v>
      </c>
      <c r="I726" s="1" t="s">
        <v>352</v>
      </c>
      <c r="J726" s="1">
        <v>5</v>
      </c>
      <c r="K726" s="17" t="str">
        <f t="shared" si="11"/>
        <v>May</v>
      </c>
    </row>
    <row r="727" spans="1:11" x14ac:dyDescent="0.25">
      <c r="A727" s="16" t="s">
        <v>12</v>
      </c>
      <c r="B727" s="1" t="s">
        <v>251</v>
      </c>
      <c r="C727" s="1">
        <v>1701</v>
      </c>
      <c r="D727" s="1" t="s">
        <v>340</v>
      </c>
      <c r="E727" s="1" t="s">
        <v>343</v>
      </c>
      <c r="F727" s="1" t="s">
        <v>350</v>
      </c>
      <c r="G727" s="1">
        <v>0</v>
      </c>
      <c r="H727" s="1">
        <v>1</v>
      </c>
      <c r="I727" s="1" t="s">
        <v>351</v>
      </c>
      <c r="J727" s="1">
        <v>2</v>
      </c>
      <c r="K727" s="17" t="str">
        <f t="shared" si="11"/>
        <v>Jan</v>
      </c>
    </row>
    <row r="728" spans="1:11" x14ac:dyDescent="0.25">
      <c r="A728" s="16" t="s">
        <v>12</v>
      </c>
      <c r="B728" s="4" t="s">
        <v>78</v>
      </c>
      <c r="C728" s="1">
        <v>1914</v>
      </c>
      <c r="D728" s="1" t="s">
        <v>342</v>
      </c>
      <c r="E728" s="1" t="s">
        <v>343</v>
      </c>
      <c r="F728" s="1" t="s">
        <v>349</v>
      </c>
      <c r="G728" s="1">
        <v>19</v>
      </c>
      <c r="H728" s="1">
        <v>0</v>
      </c>
      <c r="I728" s="1" t="s">
        <v>352</v>
      </c>
      <c r="J728" s="1">
        <v>2</v>
      </c>
      <c r="K728" s="17" t="str">
        <f t="shared" si="11"/>
        <v>Jan</v>
      </c>
    </row>
    <row r="729" spans="1:11" x14ac:dyDescent="0.25">
      <c r="A729" s="16" t="s">
        <v>10</v>
      </c>
      <c r="B729" s="1" t="s">
        <v>327</v>
      </c>
      <c r="C729" s="1">
        <v>1872</v>
      </c>
      <c r="D729" s="1" t="s">
        <v>340</v>
      </c>
      <c r="E729" s="1" t="s">
        <v>346</v>
      </c>
      <c r="F729" s="1" t="s">
        <v>347</v>
      </c>
      <c r="G729" s="1">
        <v>27</v>
      </c>
      <c r="H729" s="1">
        <v>4</v>
      </c>
      <c r="I729" s="1" t="s">
        <v>354</v>
      </c>
      <c r="J729" s="1">
        <v>3</v>
      </c>
      <c r="K729" s="17" t="str">
        <f t="shared" si="11"/>
        <v>Sep</v>
      </c>
    </row>
    <row r="730" spans="1:11" x14ac:dyDescent="0.25">
      <c r="A730" s="16" t="s">
        <v>10</v>
      </c>
      <c r="B730" s="4" t="s">
        <v>330</v>
      </c>
      <c r="C730" s="1">
        <v>1531</v>
      </c>
      <c r="D730" s="1" t="s">
        <v>342</v>
      </c>
      <c r="E730" s="1" t="s">
        <v>345</v>
      </c>
      <c r="F730" s="1" t="s">
        <v>349</v>
      </c>
      <c r="G730" s="1">
        <v>15</v>
      </c>
      <c r="H730" s="1">
        <v>6</v>
      </c>
      <c r="I730" s="1" t="s">
        <v>354</v>
      </c>
      <c r="J730" s="1">
        <v>1</v>
      </c>
      <c r="K730" s="17" t="str">
        <f t="shared" si="11"/>
        <v>Aug</v>
      </c>
    </row>
    <row r="731" spans="1:11" x14ac:dyDescent="0.25">
      <c r="A731" s="16" t="s">
        <v>12</v>
      </c>
      <c r="B731" s="1" t="s">
        <v>190</v>
      </c>
      <c r="C731" s="1">
        <v>1332</v>
      </c>
      <c r="D731" s="1" t="s">
        <v>340</v>
      </c>
      <c r="E731" s="1" t="s">
        <v>345</v>
      </c>
      <c r="F731" s="1" t="s">
        <v>350</v>
      </c>
      <c r="G731" s="1">
        <v>46</v>
      </c>
      <c r="H731" s="1">
        <v>7</v>
      </c>
      <c r="I731" s="1" t="s">
        <v>353</v>
      </c>
      <c r="J731" s="1">
        <v>1</v>
      </c>
      <c r="K731" s="17" t="str">
        <f t="shared" si="11"/>
        <v>Jun</v>
      </c>
    </row>
    <row r="732" spans="1:11" x14ac:dyDescent="0.25">
      <c r="A732" s="16" t="s">
        <v>11</v>
      </c>
      <c r="B732" s="4" t="s">
        <v>208</v>
      </c>
      <c r="C732" s="1">
        <v>812</v>
      </c>
      <c r="D732" s="1" t="s">
        <v>340</v>
      </c>
      <c r="E732" s="1" t="s">
        <v>345</v>
      </c>
      <c r="F732" s="1" t="s">
        <v>349</v>
      </c>
      <c r="G732" s="1">
        <v>16</v>
      </c>
      <c r="H732" s="1">
        <v>9</v>
      </c>
      <c r="I732" s="1" t="s">
        <v>354</v>
      </c>
      <c r="J732" s="1">
        <v>2</v>
      </c>
      <c r="K732" s="17" t="str">
        <f t="shared" si="11"/>
        <v>Jul</v>
      </c>
    </row>
    <row r="733" spans="1:11" x14ac:dyDescent="0.25">
      <c r="A733" s="16" t="s">
        <v>10</v>
      </c>
      <c r="B733" s="1" t="s">
        <v>289</v>
      </c>
      <c r="C733" s="1">
        <v>1258</v>
      </c>
      <c r="D733" s="1" t="s">
        <v>340</v>
      </c>
      <c r="E733" s="1" t="s">
        <v>344</v>
      </c>
      <c r="F733" s="1" t="s">
        <v>348</v>
      </c>
      <c r="G733" s="1">
        <v>39</v>
      </c>
      <c r="H733" s="1">
        <v>0</v>
      </c>
      <c r="I733" s="1" t="s">
        <v>354</v>
      </c>
      <c r="J733" s="1">
        <v>1</v>
      </c>
      <c r="K733" s="17" t="str">
        <f t="shared" si="11"/>
        <v>Aug</v>
      </c>
    </row>
    <row r="734" spans="1:11" x14ac:dyDescent="0.25">
      <c r="A734" s="16" t="s">
        <v>12</v>
      </c>
      <c r="B734" s="4" t="s">
        <v>106</v>
      </c>
      <c r="C734" s="1">
        <v>942</v>
      </c>
      <c r="D734" s="1" t="s">
        <v>340</v>
      </c>
      <c r="E734" s="1" t="s">
        <v>346</v>
      </c>
      <c r="F734" s="1" t="s">
        <v>349</v>
      </c>
      <c r="G734" s="1">
        <v>27</v>
      </c>
      <c r="H734" s="1">
        <v>6</v>
      </c>
      <c r="I734" s="1" t="s">
        <v>352</v>
      </c>
      <c r="J734" s="1">
        <v>2</v>
      </c>
      <c r="K734" s="17" t="str">
        <f t="shared" si="11"/>
        <v>Mar</v>
      </c>
    </row>
    <row r="735" spans="1:11" x14ac:dyDescent="0.25">
      <c r="A735" s="16" t="s">
        <v>12</v>
      </c>
      <c r="B735" s="1" t="s">
        <v>299</v>
      </c>
      <c r="C735" s="1">
        <v>827</v>
      </c>
      <c r="D735" s="1" t="s">
        <v>342</v>
      </c>
      <c r="E735" s="1" t="s">
        <v>345</v>
      </c>
      <c r="F735" s="1" t="s">
        <v>350</v>
      </c>
      <c r="G735" s="1">
        <v>11</v>
      </c>
      <c r="H735" s="1">
        <v>4</v>
      </c>
      <c r="I735" s="1" t="s">
        <v>352</v>
      </c>
      <c r="J735" s="1">
        <v>4</v>
      </c>
      <c r="K735" s="17" t="str">
        <f t="shared" si="11"/>
        <v>Jun</v>
      </c>
    </row>
    <row r="736" spans="1:11" x14ac:dyDescent="0.25">
      <c r="A736" s="16" t="s">
        <v>11</v>
      </c>
      <c r="B736" s="1" t="s">
        <v>25</v>
      </c>
      <c r="C736" s="1">
        <v>1577</v>
      </c>
      <c r="D736" s="1" t="s">
        <v>342</v>
      </c>
      <c r="E736" s="1" t="s">
        <v>345</v>
      </c>
      <c r="F736" s="1" t="s">
        <v>348</v>
      </c>
      <c r="G736" s="1">
        <v>26</v>
      </c>
      <c r="H736" s="1">
        <v>9</v>
      </c>
      <c r="I736" s="1" t="s">
        <v>351</v>
      </c>
      <c r="J736" s="1">
        <v>3</v>
      </c>
      <c r="K736" s="17" t="str">
        <f t="shared" si="11"/>
        <v>Nov</v>
      </c>
    </row>
    <row r="737" spans="1:11" x14ac:dyDescent="0.25">
      <c r="A737" s="16" t="s">
        <v>13</v>
      </c>
      <c r="B737" s="4" t="s">
        <v>133</v>
      </c>
      <c r="C737" s="1">
        <v>1260</v>
      </c>
      <c r="D737" s="1" t="s">
        <v>341</v>
      </c>
      <c r="E737" s="1" t="s">
        <v>345</v>
      </c>
      <c r="F737" s="1" t="s">
        <v>349</v>
      </c>
      <c r="G737" s="1">
        <v>41</v>
      </c>
      <c r="H737" s="1">
        <v>0</v>
      </c>
      <c r="I737" s="1" t="s">
        <v>353</v>
      </c>
      <c r="J737" s="1">
        <v>0</v>
      </c>
      <c r="K737" s="17" t="str">
        <f t="shared" si="11"/>
        <v>Mar</v>
      </c>
    </row>
    <row r="738" spans="1:11" x14ac:dyDescent="0.25">
      <c r="A738" s="16" t="s">
        <v>10</v>
      </c>
      <c r="B738" s="4" t="s">
        <v>331</v>
      </c>
      <c r="C738" s="1">
        <v>1762</v>
      </c>
      <c r="D738" s="1" t="s">
        <v>342</v>
      </c>
      <c r="E738" s="1" t="s">
        <v>344</v>
      </c>
      <c r="F738" s="1" t="s">
        <v>349</v>
      </c>
      <c r="G738" s="1">
        <v>46</v>
      </c>
      <c r="H738" s="1">
        <v>2</v>
      </c>
      <c r="I738" s="1" t="s">
        <v>352</v>
      </c>
      <c r="J738" s="1">
        <v>3</v>
      </c>
      <c r="K738" s="17" t="str">
        <f t="shared" si="11"/>
        <v>Mar</v>
      </c>
    </row>
    <row r="739" spans="1:11" x14ac:dyDescent="0.25">
      <c r="A739" s="16" t="s">
        <v>11</v>
      </c>
      <c r="B739" s="1" t="s">
        <v>104</v>
      </c>
      <c r="C739" s="1">
        <v>1752</v>
      </c>
      <c r="D739" s="1" t="s">
        <v>340</v>
      </c>
      <c r="E739" s="1" t="s">
        <v>344</v>
      </c>
      <c r="F739" s="1" t="s">
        <v>348</v>
      </c>
      <c r="G739" s="1">
        <v>29</v>
      </c>
      <c r="H739" s="1">
        <v>6</v>
      </c>
      <c r="I739" s="1" t="s">
        <v>354</v>
      </c>
      <c r="J739" s="1">
        <v>2</v>
      </c>
      <c r="K739" s="17" t="str">
        <f t="shared" si="11"/>
        <v>Apr</v>
      </c>
    </row>
    <row r="740" spans="1:11" x14ac:dyDescent="0.25">
      <c r="A740" s="16" t="s">
        <v>12</v>
      </c>
      <c r="B740" s="1" t="s">
        <v>129</v>
      </c>
      <c r="C740" s="1">
        <v>1078</v>
      </c>
      <c r="D740" s="1" t="s">
        <v>341</v>
      </c>
      <c r="E740" s="1" t="s">
        <v>343</v>
      </c>
      <c r="F740" s="1" t="s">
        <v>347</v>
      </c>
      <c r="G740" s="1">
        <v>40</v>
      </c>
      <c r="H740" s="1">
        <v>9</v>
      </c>
      <c r="I740" s="1" t="s">
        <v>351</v>
      </c>
      <c r="J740" s="1">
        <v>2</v>
      </c>
      <c r="K740" s="17" t="str">
        <f t="shared" si="11"/>
        <v>Nov</v>
      </c>
    </row>
    <row r="741" spans="1:11" x14ac:dyDescent="0.25">
      <c r="A741" s="16" t="s">
        <v>12</v>
      </c>
      <c r="B741" s="1" t="s">
        <v>322</v>
      </c>
      <c r="C741" s="1">
        <v>1574</v>
      </c>
      <c r="D741" s="1" t="s">
        <v>341</v>
      </c>
      <c r="E741" s="1" t="s">
        <v>346</v>
      </c>
      <c r="F741" s="1" t="s">
        <v>348</v>
      </c>
      <c r="G741" s="1">
        <v>33</v>
      </c>
      <c r="H741" s="1">
        <v>0</v>
      </c>
      <c r="I741" s="1" t="s">
        <v>352</v>
      </c>
      <c r="J741" s="1">
        <v>3</v>
      </c>
      <c r="K741" s="17" t="str">
        <f t="shared" si="11"/>
        <v>Nov</v>
      </c>
    </row>
    <row r="742" spans="1:11" x14ac:dyDescent="0.25">
      <c r="A742" s="16" t="s">
        <v>11</v>
      </c>
      <c r="B742" s="1" t="s">
        <v>102</v>
      </c>
      <c r="C742" s="1">
        <v>1506</v>
      </c>
      <c r="D742" s="1" t="s">
        <v>341</v>
      </c>
      <c r="E742" s="1" t="s">
        <v>343</v>
      </c>
      <c r="F742" s="1" t="s">
        <v>347</v>
      </c>
      <c r="G742" s="1">
        <v>36</v>
      </c>
      <c r="H742" s="1">
        <v>6</v>
      </c>
      <c r="I742" s="1" t="s">
        <v>353</v>
      </c>
      <c r="J742" s="1">
        <v>5</v>
      </c>
      <c r="K742" s="17" t="str">
        <f t="shared" si="11"/>
        <v>Jun</v>
      </c>
    </row>
    <row r="743" spans="1:11" x14ac:dyDescent="0.25">
      <c r="A743" s="16" t="s">
        <v>10</v>
      </c>
      <c r="B743" s="1" t="s">
        <v>268</v>
      </c>
      <c r="C743" s="1">
        <v>1787</v>
      </c>
      <c r="D743" s="1" t="s">
        <v>340</v>
      </c>
      <c r="E743" s="1" t="s">
        <v>346</v>
      </c>
      <c r="F743" s="1" t="s">
        <v>350</v>
      </c>
      <c r="G743" s="1">
        <v>5</v>
      </c>
      <c r="H743" s="1">
        <v>4</v>
      </c>
      <c r="I743" s="1" t="s">
        <v>353</v>
      </c>
      <c r="J743" s="1">
        <v>2</v>
      </c>
      <c r="K743" s="17" t="str">
        <f t="shared" si="11"/>
        <v>Dec</v>
      </c>
    </row>
    <row r="744" spans="1:11" x14ac:dyDescent="0.25">
      <c r="A744" s="16" t="s">
        <v>13</v>
      </c>
      <c r="B744" s="1" t="s">
        <v>310</v>
      </c>
      <c r="C744" s="1">
        <v>1941</v>
      </c>
      <c r="D744" s="1" t="s">
        <v>342</v>
      </c>
      <c r="E744" s="1" t="s">
        <v>344</v>
      </c>
      <c r="F744" s="1" t="s">
        <v>350</v>
      </c>
      <c r="G744" s="1">
        <v>6</v>
      </c>
      <c r="H744" s="1">
        <v>0</v>
      </c>
      <c r="I744" s="1" t="s">
        <v>351</v>
      </c>
      <c r="J744" s="1">
        <v>1</v>
      </c>
      <c r="K744" s="17" t="str">
        <f t="shared" si="11"/>
        <v>Dec</v>
      </c>
    </row>
    <row r="745" spans="1:11" x14ac:dyDescent="0.25">
      <c r="A745" s="16" t="s">
        <v>13</v>
      </c>
      <c r="B745" s="1" t="s">
        <v>327</v>
      </c>
      <c r="C745" s="1">
        <v>595</v>
      </c>
      <c r="D745" s="1" t="s">
        <v>340</v>
      </c>
      <c r="E745" s="1" t="s">
        <v>345</v>
      </c>
      <c r="F745" s="1" t="s">
        <v>348</v>
      </c>
      <c r="G745" s="1">
        <v>31</v>
      </c>
      <c r="H745" s="1">
        <v>0</v>
      </c>
      <c r="I745" s="1" t="s">
        <v>351</v>
      </c>
      <c r="J745" s="1">
        <v>1</v>
      </c>
      <c r="K745" s="17" t="str">
        <f t="shared" si="11"/>
        <v>Sep</v>
      </c>
    </row>
    <row r="746" spans="1:11" x14ac:dyDescent="0.25">
      <c r="A746" s="16" t="s">
        <v>12</v>
      </c>
      <c r="B746" s="1" t="s">
        <v>138</v>
      </c>
      <c r="C746" s="1">
        <v>1611</v>
      </c>
      <c r="D746" s="1" t="s">
        <v>341</v>
      </c>
      <c r="E746" s="1" t="s">
        <v>343</v>
      </c>
      <c r="F746" s="1" t="s">
        <v>348</v>
      </c>
      <c r="G746" s="1">
        <v>31</v>
      </c>
      <c r="H746" s="1">
        <v>0</v>
      </c>
      <c r="I746" s="1" t="s">
        <v>351</v>
      </c>
      <c r="J746" s="1">
        <v>2</v>
      </c>
      <c r="K746" s="17" t="str">
        <f t="shared" si="11"/>
        <v>Nov</v>
      </c>
    </row>
    <row r="747" spans="1:11" x14ac:dyDescent="0.25">
      <c r="A747" s="16" t="s">
        <v>10</v>
      </c>
      <c r="B747" s="1" t="s">
        <v>174</v>
      </c>
      <c r="C747" s="1">
        <v>1601</v>
      </c>
      <c r="D747" s="1" t="s">
        <v>340</v>
      </c>
      <c r="E747" s="1" t="s">
        <v>345</v>
      </c>
      <c r="F747" s="1" t="s">
        <v>350</v>
      </c>
      <c r="G747" s="1">
        <v>24</v>
      </c>
      <c r="H747" s="1">
        <v>10</v>
      </c>
      <c r="I747" s="1" t="s">
        <v>351</v>
      </c>
      <c r="J747" s="1">
        <v>2</v>
      </c>
      <c r="K747" s="17" t="str">
        <f t="shared" si="11"/>
        <v>Aug</v>
      </c>
    </row>
    <row r="748" spans="1:11" x14ac:dyDescent="0.25">
      <c r="A748" s="16" t="s">
        <v>13</v>
      </c>
      <c r="B748" s="1" t="s">
        <v>141</v>
      </c>
      <c r="C748" s="1">
        <v>1811</v>
      </c>
      <c r="D748" s="1" t="s">
        <v>340</v>
      </c>
      <c r="E748" s="1" t="s">
        <v>343</v>
      </c>
      <c r="F748" s="1" t="s">
        <v>347</v>
      </c>
      <c r="G748" s="1">
        <v>32</v>
      </c>
      <c r="H748" s="1">
        <v>8</v>
      </c>
      <c r="I748" s="1" t="s">
        <v>351</v>
      </c>
      <c r="J748" s="1">
        <v>5</v>
      </c>
      <c r="K748" s="17" t="str">
        <f t="shared" si="11"/>
        <v>Jul</v>
      </c>
    </row>
    <row r="749" spans="1:11" x14ac:dyDescent="0.25">
      <c r="A749" s="16" t="s">
        <v>10</v>
      </c>
      <c r="B749" s="1" t="s">
        <v>243</v>
      </c>
      <c r="C749" s="1">
        <v>1643</v>
      </c>
      <c r="D749" s="1" t="s">
        <v>342</v>
      </c>
      <c r="E749" s="1" t="s">
        <v>344</v>
      </c>
      <c r="F749" s="1" t="s">
        <v>350</v>
      </c>
      <c r="G749" s="1">
        <v>6</v>
      </c>
      <c r="H749" s="1">
        <v>10</v>
      </c>
      <c r="I749" s="1" t="s">
        <v>354</v>
      </c>
      <c r="J749" s="1">
        <v>1</v>
      </c>
      <c r="K749" s="17" t="str">
        <f t="shared" si="11"/>
        <v>Jul</v>
      </c>
    </row>
    <row r="750" spans="1:11" x14ac:dyDescent="0.25">
      <c r="A750" s="16" t="s">
        <v>10</v>
      </c>
      <c r="B750" s="1" t="s">
        <v>175</v>
      </c>
      <c r="C750" s="1">
        <v>1313</v>
      </c>
      <c r="D750" s="1" t="s">
        <v>342</v>
      </c>
      <c r="E750" s="1" t="s">
        <v>344</v>
      </c>
      <c r="F750" s="1" t="s">
        <v>348</v>
      </c>
      <c r="G750" s="1">
        <v>11</v>
      </c>
      <c r="H750" s="1">
        <v>2</v>
      </c>
      <c r="I750" s="1" t="s">
        <v>354</v>
      </c>
      <c r="J750" s="1">
        <v>2</v>
      </c>
      <c r="K750" s="17" t="str">
        <f t="shared" si="11"/>
        <v>Nov</v>
      </c>
    </row>
    <row r="751" spans="1:11" x14ac:dyDescent="0.25">
      <c r="A751" s="16" t="s">
        <v>12</v>
      </c>
      <c r="B751" s="1" t="s">
        <v>260</v>
      </c>
      <c r="C751" s="1">
        <v>990</v>
      </c>
      <c r="D751" s="1" t="s">
        <v>341</v>
      </c>
      <c r="E751" s="1" t="s">
        <v>344</v>
      </c>
      <c r="F751" s="1" t="s">
        <v>350</v>
      </c>
      <c r="G751" s="1">
        <v>15</v>
      </c>
      <c r="H751" s="1">
        <v>4</v>
      </c>
      <c r="I751" s="1" t="s">
        <v>352</v>
      </c>
      <c r="J751" s="1">
        <v>2</v>
      </c>
      <c r="K751" s="17" t="str">
        <f t="shared" si="11"/>
        <v>Feb</v>
      </c>
    </row>
    <row r="752" spans="1:11" x14ac:dyDescent="0.25">
      <c r="A752" s="16" t="s">
        <v>13</v>
      </c>
      <c r="B752" s="1" t="s">
        <v>135</v>
      </c>
      <c r="C752" s="1">
        <v>951</v>
      </c>
      <c r="D752" s="1" t="s">
        <v>340</v>
      </c>
      <c r="E752" s="1" t="s">
        <v>343</v>
      </c>
      <c r="F752" s="1" t="s">
        <v>348</v>
      </c>
      <c r="G752" s="1">
        <v>15</v>
      </c>
      <c r="H752" s="1">
        <v>10</v>
      </c>
      <c r="I752" s="1" t="s">
        <v>353</v>
      </c>
      <c r="J752" s="1">
        <v>5</v>
      </c>
      <c r="K752" s="17" t="str">
        <f t="shared" si="11"/>
        <v>Aug</v>
      </c>
    </row>
    <row r="753" spans="1:11" x14ac:dyDescent="0.25">
      <c r="A753" s="16" t="s">
        <v>11</v>
      </c>
      <c r="B753" s="1" t="s">
        <v>118</v>
      </c>
      <c r="C753" s="1">
        <v>664</v>
      </c>
      <c r="D753" s="1" t="s">
        <v>340</v>
      </c>
      <c r="E753" s="1" t="s">
        <v>346</v>
      </c>
      <c r="F753" s="1" t="s">
        <v>348</v>
      </c>
      <c r="G753" s="1">
        <v>42</v>
      </c>
      <c r="H753" s="1">
        <v>9</v>
      </c>
      <c r="I753" s="1" t="s">
        <v>354</v>
      </c>
      <c r="J753" s="1">
        <v>5</v>
      </c>
      <c r="K753" s="17" t="str">
        <f t="shared" si="11"/>
        <v>Oct</v>
      </c>
    </row>
    <row r="754" spans="1:11" x14ac:dyDescent="0.25">
      <c r="A754" s="16" t="s">
        <v>12</v>
      </c>
      <c r="B754" s="1" t="s">
        <v>132</v>
      </c>
      <c r="C754" s="1">
        <v>681</v>
      </c>
      <c r="D754" s="1" t="s">
        <v>342</v>
      </c>
      <c r="E754" s="1" t="s">
        <v>343</v>
      </c>
      <c r="F754" s="1" t="s">
        <v>350</v>
      </c>
      <c r="G754" s="1">
        <v>35</v>
      </c>
      <c r="H754" s="1">
        <v>8</v>
      </c>
      <c r="I754" s="1" t="s">
        <v>354</v>
      </c>
      <c r="J754" s="1">
        <v>3</v>
      </c>
      <c r="K754" s="17" t="str">
        <f t="shared" si="11"/>
        <v>Feb</v>
      </c>
    </row>
    <row r="755" spans="1:11" x14ac:dyDescent="0.25">
      <c r="A755" s="16" t="s">
        <v>13</v>
      </c>
      <c r="B755" s="1" t="s">
        <v>117</v>
      </c>
      <c r="C755" s="1">
        <v>968</v>
      </c>
      <c r="D755" s="1" t="s">
        <v>340</v>
      </c>
      <c r="E755" s="1" t="s">
        <v>346</v>
      </c>
      <c r="F755" s="1" t="s">
        <v>347</v>
      </c>
      <c r="G755" s="1">
        <v>12</v>
      </c>
      <c r="H755" s="1">
        <v>5</v>
      </c>
      <c r="I755" s="1" t="s">
        <v>354</v>
      </c>
      <c r="J755" s="1">
        <v>5</v>
      </c>
      <c r="K755" s="17" t="str">
        <f t="shared" si="11"/>
        <v>Sep</v>
      </c>
    </row>
    <row r="756" spans="1:11" x14ac:dyDescent="0.25">
      <c r="A756" s="16" t="s">
        <v>13</v>
      </c>
      <c r="B756" s="4" t="s">
        <v>81</v>
      </c>
      <c r="C756" s="1">
        <v>1409</v>
      </c>
      <c r="D756" s="1" t="s">
        <v>340</v>
      </c>
      <c r="E756" s="1" t="s">
        <v>343</v>
      </c>
      <c r="F756" s="1" t="s">
        <v>349</v>
      </c>
      <c r="G756" s="1">
        <v>6</v>
      </c>
      <c r="H756" s="1">
        <v>8</v>
      </c>
      <c r="I756" s="1" t="s">
        <v>352</v>
      </c>
      <c r="J756" s="1">
        <v>0</v>
      </c>
      <c r="K756" s="17" t="str">
        <f t="shared" si="11"/>
        <v>Jan</v>
      </c>
    </row>
    <row r="757" spans="1:11" x14ac:dyDescent="0.25">
      <c r="A757" s="16" t="s">
        <v>13</v>
      </c>
      <c r="B757" s="1" t="s">
        <v>196</v>
      </c>
      <c r="C757" s="1">
        <v>1234</v>
      </c>
      <c r="D757" s="1" t="s">
        <v>340</v>
      </c>
      <c r="E757" s="1" t="s">
        <v>343</v>
      </c>
      <c r="F757" s="1" t="s">
        <v>350</v>
      </c>
      <c r="G757" s="1">
        <v>35</v>
      </c>
      <c r="H757" s="1">
        <v>7</v>
      </c>
      <c r="I757" s="1" t="s">
        <v>351</v>
      </c>
      <c r="J757" s="1">
        <v>1</v>
      </c>
      <c r="K757" s="17" t="str">
        <f t="shared" si="11"/>
        <v>Aug</v>
      </c>
    </row>
    <row r="758" spans="1:11" x14ac:dyDescent="0.25">
      <c r="A758" s="16" t="s">
        <v>13</v>
      </c>
      <c r="B758" s="4" t="s">
        <v>20</v>
      </c>
      <c r="C758" s="1">
        <v>1322</v>
      </c>
      <c r="D758" s="1" t="s">
        <v>342</v>
      </c>
      <c r="E758" s="1" t="s">
        <v>344</v>
      </c>
      <c r="F758" s="1" t="s">
        <v>349</v>
      </c>
      <c r="G758" s="1">
        <v>46</v>
      </c>
      <c r="H758" s="1">
        <v>7</v>
      </c>
      <c r="I758" s="1" t="s">
        <v>352</v>
      </c>
      <c r="J758" s="1">
        <v>3</v>
      </c>
      <c r="K758" s="17" t="str">
        <f t="shared" si="11"/>
        <v>Apr</v>
      </c>
    </row>
    <row r="759" spans="1:11" x14ac:dyDescent="0.25">
      <c r="A759" s="16" t="s">
        <v>13</v>
      </c>
      <c r="B759" s="1" t="s">
        <v>208</v>
      </c>
      <c r="C759" s="1">
        <v>1443</v>
      </c>
      <c r="D759" s="1" t="s">
        <v>341</v>
      </c>
      <c r="E759" s="1" t="s">
        <v>345</v>
      </c>
      <c r="F759" s="1" t="s">
        <v>350</v>
      </c>
      <c r="G759" s="1">
        <v>50</v>
      </c>
      <c r="H759" s="1">
        <v>0</v>
      </c>
      <c r="I759" s="1" t="s">
        <v>353</v>
      </c>
      <c r="J759" s="1">
        <v>0</v>
      </c>
      <c r="K759" s="17" t="str">
        <f t="shared" si="11"/>
        <v>Jul</v>
      </c>
    </row>
    <row r="760" spans="1:11" x14ac:dyDescent="0.25">
      <c r="A760" s="16" t="s">
        <v>10</v>
      </c>
      <c r="B760" s="4" t="s">
        <v>129</v>
      </c>
      <c r="C760" s="1">
        <v>506</v>
      </c>
      <c r="D760" s="1" t="s">
        <v>341</v>
      </c>
      <c r="E760" s="1" t="s">
        <v>345</v>
      </c>
      <c r="F760" s="1" t="s">
        <v>349</v>
      </c>
      <c r="G760" s="1">
        <v>8</v>
      </c>
      <c r="H760" s="1">
        <v>8</v>
      </c>
      <c r="I760" s="1" t="s">
        <v>353</v>
      </c>
      <c r="J760" s="1">
        <v>2</v>
      </c>
      <c r="K760" s="17" t="str">
        <f t="shared" si="11"/>
        <v>Nov</v>
      </c>
    </row>
    <row r="761" spans="1:11" x14ac:dyDescent="0.25">
      <c r="A761" s="16" t="s">
        <v>12</v>
      </c>
      <c r="B761" s="1" t="s">
        <v>235</v>
      </c>
      <c r="C761" s="1">
        <v>829</v>
      </c>
      <c r="D761" s="1" t="s">
        <v>340</v>
      </c>
      <c r="E761" s="1" t="s">
        <v>346</v>
      </c>
      <c r="F761" s="1" t="s">
        <v>347</v>
      </c>
      <c r="G761" s="1">
        <v>31</v>
      </c>
      <c r="H761" s="1">
        <v>5</v>
      </c>
      <c r="I761" s="1" t="s">
        <v>353</v>
      </c>
      <c r="J761" s="1">
        <v>2</v>
      </c>
      <c r="K761" s="17" t="str">
        <f t="shared" si="11"/>
        <v>Dec</v>
      </c>
    </row>
    <row r="762" spans="1:11" x14ac:dyDescent="0.25">
      <c r="A762" s="16" t="s">
        <v>10</v>
      </c>
      <c r="B762" s="1" t="s">
        <v>121</v>
      </c>
      <c r="C762" s="1">
        <v>1274</v>
      </c>
      <c r="D762" s="1" t="s">
        <v>341</v>
      </c>
      <c r="E762" s="1" t="s">
        <v>345</v>
      </c>
      <c r="F762" s="1" t="s">
        <v>347</v>
      </c>
      <c r="G762" s="1">
        <v>10</v>
      </c>
      <c r="H762" s="1">
        <v>8</v>
      </c>
      <c r="I762" s="1" t="s">
        <v>353</v>
      </c>
      <c r="J762" s="1">
        <v>3</v>
      </c>
      <c r="K762" s="17" t="str">
        <f t="shared" si="11"/>
        <v>Nov</v>
      </c>
    </row>
    <row r="763" spans="1:11" x14ac:dyDescent="0.25">
      <c r="A763" s="16" t="s">
        <v>11</v>
      </c>
      <c r="B763" s="1" t="s">
        <v>50</v>
      </c>
      <c r="C763" s="1">
        <v>650</v>
      </c>
      <c r="D763" s="1" t="s">
        <v>342</v>
      </c>
      <c r="E763" s="1" t="s">
        <v>343</v>
      </c>
      <c r="F763" s="1" t="s">
        <v>350</v>
      </c>
      <c r="G763" s="1">
        <v>7</v>
      </c>
      <c r="H763" s="1">
        <v>2</v>
      </c>
      <c r="I763" s="1" t="s">
        <v>354</v>
      </c>
      <c r="J763" s="1">
        <v>5</v>
      </c>
      <c r="K763" s="17" t="str">
        <f t="shared" si="11"/>
        <v>Feb</v>
      </c>
    </row>
    <row r="764" spans="1:11" x14ac:dyDescent="0.25">
      <c r="A764" s="16" t="s">
        <v>13</v>
      </c>
      <c r="B764" s="1" t="s">
        <v>153</v>
      </c>
      <c r="C764" s="1">
        <v>1608</v>
      </c>
      <c r="D764" s="1" t="s">
        <v>342</v>
      </c>
      <c r="E764" s="1" t="s">
        <v>343</v>
      </c>
      <c r="F764" s="1" t="s">
        <v>348</v>
      </c>
      <c r="G764" s="1">
        <v>32</v>
      </c>
      <c r="H764" s="1">
        <v>2</v>
      </c>
      <c r="I764" s="1" t="s">
        <v>354</v>
      </c>
      <c r="J764" s="1">
        <v>2</v>
      </c>
      <c r="K764" s="17" t="str">
        <f t="shared" si="11"/>
        <v>Oct</v>
      </c>
    </row>
    <row r="765" spans="1:11" x14ac:dyDescent="0.25">
      <c r="A765" s="16" t="s">
        <v>12</v>
      </c>
      <c r="B765" s="4" t="s">
        <v>218</v>
      </c>
      <c r="C765" s="1">
        <v>646</v>
      </c>
      <c r="D765" s="1" t="s">
        <v>341</v>
      </c>
      <c r="E765" s="1" t="s">
        <v>344</v>
      </c>
      <c r="F765" s="1" t="s">
        <v>349</v>
      </c>
      <c r="G765" s="1">
        <v>22</v>
      </c>
      <c r="H765" s="1">
        <v>5</v>
      </c>
      <c r="I765" s="1" t="s">
        <v>352</v>
      </c>
      <c r="J765" s="1">
        <v>4</v>
      </c>
      <c r="K765" s="17" t="str">
        <f t="shared" si="11"/>
        <v>Feb</v>
      </c>
    </row>
    <row r="766" spans="1:11" x14ac:dyDescent="0.25">
      <c r="A766" s="16" t="s">
        <v>13</v>
      </c>
      <c r="B766" s="1" t="s">
        <v>266</v>
      </c>
      <c r="C766" s="1">
        <v>1904</v>
      </c>
      <c r="D766" s="1" t="s">
        <v>341</v>
      </c>
      <c r="E766" s="1" t="s">
        <v>344</v>
      </c>
      <c r="F766" s="1" t="s">
        <v>348</v>
      </c>
      <c r="G766" s="1">
        <v>24</v>
      </c>
      <c r="H766" s="1">
        <v>8</v>
      </c>
      <c r="I766" s="1" t="s">
        <v>351</v>
      </c>
      <c r="J766" s="1">
        <v>3</v>
      </c>
      <c r="K766" s="17" t="str">
        <f t="shared" si="11"/>
        <v>Jul</v>
      </c>
    </row>
    <row r="767" spans="1:11" x14ac:dyDescent="0.25">
      <c r="A767" s="16" t="s">
        <v>12</v>
      </c>
      <c r="B767" s="1" t="s">
        <v>91</v>
      </c>
      <c r="C767" s="1">
        <v>1414</v>
      </c>
      <c r="D767" s="1" t="s">
        <v>340</v>
      </c>
      <c r="E767" s="1" t="s">
        <v>345</v>
      </c>
      <c r="F767" s="1" t="s">
        <v>348</v>
      </c>
      <c r="G767" s="1">
        <v>7</v>
      </c>
      <c r="H767" s="1">
        <v>6</v>
      </c>
      <c r="I767" s="1" t="s">
        <v>353</v>
      </c>
      <c r="J767" s="1">
        <v>0</v>
      </c>
      <c r="K767" s="17" t="str">
        <f t="shared" si="11"/>
        <v>May</v>
      </c>
    </row>
    <row r="768" spans="1:11" x14ac:dyDescent="0.25">
      <c r="A768" s="16" t="s">
        <v>10</v>
      </c>
      <c r="B768" s="1" t="s">
        <v>323</v>
      </c>
      <c r="C768" s="1">
        <v>1808</v>
      </c>
      <c r="D768" s="1" t="s">
        <v>341</v>
      </c>
      <c r="E768" s="1" t="s">
        <v>346</v>
      </c>
      <c r="F768" s="1" t="s">
        <v>348</v>
      </c>
      <c r="G768" s="1">
        <v>44</v>
      </c>
      <c r="H768" s="1">
        <v>2</v>
      </c>
      <c r="I768" s="1" t="s">
        <v>352</v>
      </c>
      <c r="J768" s="1">
        <v>3</v>
      </c>
      <c r="K768" s="17" t="str">
        <f t="shared" si="11"/>
        <v>Feb</v>
      </c>
    </row>
    <row r="769" spans="1:11" x14ac:dyDescent="0.25">
      <c r="A769" s="16" t="s">
        <v>12</v>
      </c>
      <c r="B769" s="1" t="s">
        <v>146</v>
      </c>
      <c r="C769" s="1">
        <v>1199</v>
      </c>
      <c r="D769" s="1" t="s">
        <v>340</v>
      </c>
      <c r="E769" s="1" t="s">
        <v>345</v>
      </c>
      <c r="F769" s="1" t="s">
        <v>347</v>
      </c>
      <c r="G769" s="1">
        <v>21</v>
      </c>
      <c r="H769" s="1">
        <v>2</v>
      </c>
      <c r="I769" s="1" t="s">
        <v>354</v>
      </c>
      <c r="J769" s="1">
        <v>1</v>
      </c>
      <c r="K769" s="17" t="str">
        <f t="shared" si="11"/>
        <v>Jul</v>
      </c>
    </row>
    <row r="770" spans="1:11" x14ac:dyDescent="0.25">
      <c r="A770" s="16" t="s">
        <v>11</v>
      </c>
      <c r="B770" s="1" t="s">
        <v>281</v>
      </c>
      <c r="C770" s="1">
        <v>581</v>
      </c>
      <c r="D770" s="1" t="s">
        <v>340</v>
      </c>
      <c r="E770" s="1" t="s">
        <v>345</v>
      </c>
      <c r="F770" s="1" t="s">
        <v>350</v>
      </c>
      <c r="G770" s="1">
        <v>3</v>
      </c>
      <c r="H770" s="1">
        <v>1</v>
      </c>
      <c r="I770" s="1" t="s">
        <v>354</v>
      </c>
      <c r="J770" s="1">
        <v>5</v>
      </c>
      <c r="K770" s="17" t="str">
        <f t="shared" si="11"/>
        <v>Jan</v>
      </c>
    </row>
    <row r="771" spans="1:11" x14ac:dyDescent="0.25">
      <c r="A771" s="16" t="s">
        <v>11</v>
      </c>
      <c r="B771" s="1" t="s">
        <v>74</v>
      </c>
      <c r="C771" s="1">
        <v>1013</v>
      </c>
      <c r="D771" s="1" t="s">
        <v>342</v>
      </c>
      <c r="E771" s="1" t="s">
        <v>345</v>
      </c>
      <c r="F771" s="1" t="s">
        <v>350</v>
      </c>
      <c r="G771" s="1">
        <v>39</v>
      </c>
      <c r="H771" s="1">
        <v>8</v>
      </c>
      <c r="I771" s="1" t="s">
        <v>351</v>
      </c>
      <c r="J771" s="1">
        <v>5</v>
      </c>
      <c r="K771" s="17" t="str">
        <f t="shared" si="11"/>
        <v>Nov</v>
      </c>
    </row>
    <row r="772" spans="1:11" x14ac:dyDescent="0.25">
      <c r="A772" s="16" t="s">
        <v>12</v>
      </c>
      <c r="B772" s="1" t="s">
        <v>332</v>
      </c>
      <c r="C772" s="1">
        <v>1314</v>
      </c>
      <c r="D772" s="1" t="s">
        <v>342</v>
      </c>
      <c r="E772" s="1" t="s">
        <v>345</v>
      </c>
      <c r="F772" s="1" t="s">
        <v>347</v>
      </c>
      <c r="G772" s="1">
        <v>2</v>
      </c>
      <c r="H772" s="1">
        <v>2</v>
      </c>
      <c r="I772" s="1" t="s">
        <v>351</v>
      </c>
      <c r="J772" s="1">
        <v>3</v>
      </c>
      <c r="K772" s="17" t="str">
        <f t="shared" ref="K772:K802" si="12">TEXT(B772,"mmm")</f>
        <v>Jan</v>
      </c>
    </row>
    <row r="773" spans="1:11" x14ac:dyDescent="0.25">
      <c r="A773" s="16" t="s">
        <v>12</v>
      </c>
      <c r="B773" s="1" t="s">
        <v>188</v>
      </c>
      <c r="C773" s="1">
        <v>1208</v>
      </c>
      <c r="D773" s="1" t="s">
        <v>342</v>
      </c>
      <c r="E773" s="1" t="s">
        <v>343</v>
      </c>
      <c r="F773" s="1" t="s">
        <v>347</v>
      </c>
      <c r="G773" s="1">
        <v>28</v>
      </c>
      <c r="H773" s="1">
        <v>10</v>
      </c>
      <c r="I773" s="1" t="s">
        <v>351</v>
      </c>
      <c r="J773" s="1">
        <v>2</v>
      </c>
      <c r="K773" s="17" t="str">
        <f t="shared" si="12"/>
        <v>Jul</v>
      </c>
    </row>
    <row r="774" spans="1:11" x14ac:dyDescent="0.25">
      <c r="A774" s="16" t="s">
        <v>12</v>
      </c>
      <c r="B774" s="1" t="s">
        <v>57</v>
      </c>
      <c r="C774" s="1">
        <v>1245</v>
      </c>
      <c r="D774" s="1" t="s">
        <v>342</v>
      </c>
      <c r="E774" s="1" t="s">
        <v>346</v>
      </c>
      <c r="F774" s="1" t="s">
        <v>350</v>
      </c>
      <c r="G774" s="1">
        <v>40</v>
      </c>
      <c r="H774" s="1">
        <v>4</v>
      </c>
      <c r="I774" s="1" t="s">
        <v>352</v>
      </c>
      <c r="J774" s="1">
        <v>2</v>
      </c>
      <c r="K774" s="17" t="str">
        <f t="shared" si="12"/>
        <v>Mar</v>
      </c>
    </row>
    <row r="775" spans="1:11" x14ac:dyDescent="0.25">
      <c r="A775" s="16" t="s">
        <v>12</v>
      </c>
      <c r="B775" s="1" t="s">
        <v>165</v>
      </c>
      <c r="C775" s="1">
        <v>1522</v>
      </c>
      <c r="D775" s="1" t="s">
        <v>341</v>
      </c>
      <c r="E775" s="1" t="s">
        <v>343</v>
      </c>
      <c r="F775" s="1" t="s">
        <v>348</v>
      </c>
      <c r="G775" s="1">
        <v>28</v>
      </c>
      <c r="H775" s="1">
        <v>8</v>
      </c>
      <c r="I775" s="1" t="s">
        <v>354</v>
      </c>
      <c r="J775" s="1">
        <v>4</v>
      </c>
      <c r="K775" s="17" t="str">
        <f t="shared" si="12"/>
        <v>Jan</v>
      </c>
    </row>
    <row r="776" spans="1:11" x14ac:dyDescent="0.25">
      <c r="A776" s="16" t="s">
        <v>11</v>
      </c>
      <c r="B776" s="4" t="s">
        <v>45</v>
      </c>
      <c r="C776" s="1">
        <v>1909</v>
      </c>
      <c r="D776" s="1" t="s">
        <v>342</v>
      </c>
      <c r="E776" s="1" t="s">
        <v>346</v>
      </c>
      <c r="F776" s="1" t="s">
        <v>349</v>
      </c>
      <c r="G776" s="1">
        <v>33</v>
      </c>
      <c r="H776" s="1">
        <v>7</v>
      </c>
      <c r="I776" s="1" t="s">
        <v>354</v>
      </c>
      <c r="J776" s="1">
        <v>4</v>
      </c>
      <c r="K776" s="17" t="str">
        <f t="shared" si="12"/>
        <v>Mar</v>
      </c>
    </row>
    <row r="777" spans="1:11" x14ac:dyDescent="0.25">
      <c r="A777" s="16" t="s">
        <v>13</v>
      </c>
      <c r="B777" s="4" t="s">
        <v>100</v>
      </c>
      <c r="C777" s="1">
        <v>1206</v>
      </c>
      <c r="D777" s="1" t="s">
        <v>341</v>
      </c>
      <c r="E777" s="1" t="s">
        <v>344</v>
      </c>
      <c r="F777" s="1" t="s">
        <v>349</v>
      </c>
      <c r="G777" s="1">
        <v>33</v>
      </c>
      <c r="H777" s="1">
        <v>1</v>
      </c>
      <c r="I777" s="1" t="s">
        <v>351</v>
      </c>
      <c r="J777" s="1">
        <v>5</v>
      </c>
      <c r="K777" s="17" t="str">
        <f t="shared" si="12"/>
        <v>Sep</v>
      </c>
    </row>
    <row r="778" spans="1:11" x14ac:dyDescent="0.25">
      <c r="A778" s="16" t="s">
        <v>12</v>
      </c>
      <c r="B778" s="4" t="s">
        <v>145</v>
      </c>
      <c r="C778" s="1">
        <v>970</v>
      </c>
      <c r="D778" s="1" t="s">
        <v>342</v>
      </c>
      <c r="E778" s="1" t="s">
        <v>345</v>
      </c>
      <c r="F778" s="1" t="s">
        <v>349</v>
      </c>
      <c r="G778" s="1">
        <v>27</v>
      </c>
      <c r="H778" s="1">
        <v>2</v>
      </c>
      <c r="I778" s="1" t="s">
        <v>353</v>
      </c>
      <c r="J778" s="1">
        <v>4</v>
      </c>
      <c r="K778" s="17" t="str">
        <f t="shared" si="12"/>
        <v>Aug</v>
      </c>
    </row>
    <row r="779" spans="1:11" x14ac:dyDescent="0.25">
      <c r="A779" s="16" t="s">
        <v>12</v>
      </c>
      <c r="B779" s="1" t="s">
        <v>131</v>
      </c>
      <c r="C779" s="1">
        <v>1642</v>
      </c>
      <c r="D779" s="1" t="s">
        <v>341</v>
      </c>
      <c r="E779" s="1" t="s">
        <v>343</v>
      </c>
      <c r="F779" s="1" t="s">
        <v>348</v>
      </c>
      <c r="G779" s="1">
        <v>12</v>
      </c>
      <c r="H779" s="1">
        <v>1</v>
      </c>
      <c r="I779" s="1" t="s">
        <v>351</v>
      </c>
      <c r="J779" s="1">
        <v>0</v>
      </c>
      <c r="K779" s="17" t="str">
        <f t="shared" si="12"/>
        <v>Dec</v>
      </c>
    </row>
    <row r="780" spans="1:11" x14ac:dyDescent="0.25">
      <c r="A780" s="16" t="s">
        <v>11</v>
      </c>
      <c r="B780" s="1" t="s">
        <v>73</v>
      </c>
      <c r="C780" s="1">
        <v>895</v>
      </c>
      <c r="D780" s="1" t="s">
        <v>340</v>
      </c>
      <c r="E780" s="1" t="s">
        <v>346</v>
      </c>
      <c r="F780" s="1" t="s">
        <v>350</v>
      </c>
      <c r="G780" s="1">
        <v>14</v>
      </c>
      <c r="H780" s="1">
        <v>7</v>
      </c>
      <c r="I780" s="1" t="s">
        <v>352</v>
      </c>
      <c r="J780" s="1">
        <v>4</v>
      </c>
      <c r="K780" s="17" t="str">
        <f t="shared" si="12"/>
        <v>Apr</v>
      </c>
    </row>
    <row r="781" spans="1:11" x14ac:dyDescent="0.25">
      <c r="A781" s="16" t="s">
        <v>11</v>
      </c>
      <c r="B781" s="1" t="s">
        <v>333</v>
      </c>
      <c r="C781" s="1">
        <v>760</v>
      </c>
      <c r="D781" s="1" t="s">
        <v>341</v>
      </c>
      <c r="E781" s="1" t="s">
        <v>344</v>
      </c>
      <c r="F781" s="1" t="s">
        <v>347</v>
      </c>
      <c r="G781" s="1">
        <v>22</v>
      </c>
      <c r="H781" s="1">
        <v>5</v>
      </c>
      <c r="I781" s="1" t="s">
        <v>351</v>
      </c>
      <c r="J781" s="1">
        <v>0</v>
      </c>
      <c r="K781" s="17" t="str">
        <f t="shared" si="12"/>
        <v>Feb</v>
      </c>
    </row>
    <row r="782" spans="1:11" x14ac:dyDescent="0.25">
      <c r="A782" s="16" t="s">
        <v>10</v>
      </c>
      <c r="B782" s="1" t="s">
        <v>187</v>
      </c>
      <c r="C782" s="1">
        <v>1304</v>
      </c>
      <c r="D782" s="1" t="s">
        <v>341</v>
      </c>
      <c r="E782" s="1" t="s">
        <v>344</v>
      </c>
      <c r="F782" s="1" t="s">
        <v>350</v>
      </c>
      <c r="G782" s="1">
        <v>43</v>
      </c>
      <c r="H782" s="1">
        <v>5</v>
      </c>
      <c r="I782" s="1" t="s">
        <v>351</v>
      </c>
      <c r="J782" s="1">
        <v>4</v>
      </c>
      <c r="K782" s="17" t="str">
        <f t="shared" si="12"/>
        <v>Feb</v>
      </c>
    </row>
    <row r="783" spans="1:11" x14ac:dyDescent="0.25">
      <c r="A783" s="16" t="s">
        <v>12</v>
      </c>
      <c r="B783" s="1" t="s">
        <v>163</v>
      </c>
      <c r="C783" s="1">
        <v>1433</v>
      </c>
      <c r="D783" s="1" t="s">
        <v>342</v>
      </c>
      <c r="E783" s="1" t="s">
        <v>345</v>
      </c>
      <c r="F783" s="1" t="s">
        <v>348</v>
      </c>
      <c r="G783" s="1">
        <v>25</v>
      </c>
      <c r="H783" s="1">
        <v>8</v>
      </c>
      <c r="I783" s="1" t="s">
        <v>352</v>
      </c>
      <c r="J783" s="1">
        <v>5</v>
      </c>
      <c r="K783" s="17" t="str">
        <f t="shared" si="12"/>
        <v>Dec</v>
      </c>
    </row>
    <row r="784" spans="1:11" x14ac:dyDescent="0.25">
      <c r="A784" s="16" t="s">
        <v>10</v>
      </c>
      <c r="B784" s="1" t="s">
        <v>194</v>
      </c>
      <c r="C784" s="1">
        <v>1779</v>
      </c>
      <c r="D784" s="1" t="s">
        <v>341</v>
      </c>
      <c r="E784" s="1" t="s">
        <v>346</v>
      </c>
      <c r="F784" s="1" t="s">
        <v>347</v>
      </c>
      <c r="G784" s="1">
        <v>3</v>
      </c>
      <c r="H784" s="1">
        <v>7</v>
      </c>
      <c r="I784" s="1" t="s">
        <v>351</v>
      </c>
      <c r="J784" s="1">
        <v>5</v>
      </c>
      <c r="K784" s="17" t="str">
        <f t="shared" si="12"/>
        <v>Sep</v>
      </c>
    </row>
    <row r="785" spans="1:11" x14ac:dyDescent="0.25">
      <c r="A785" s="16" t="s">
        <v>11</v>
      </c>
      <c r="B785" s="1" t="s">
        <v>297</v>
      </c>
      <c r="C785" s="1">
        <v>1404</v>
      </c>
      <c r="D785" s="1" t="s">
        <v>340</v>
      </c>
      <c r="E785" s="1" t="s">
        <v>343</v>
      </c>
      <c r="F785" s="1" t="s">
        <v>348</v>
      </c>
      <c r="G785" s="1">
        <v>25</v>
      </c>
      <c r="H785" s="1">
        <v>3</v>
      </c>
      <c r="I785" s="1" t="s">
        <v>354</v>
      </c>
      <c r="J785" s="1">
        <v>0</v>
      </c>
      <c r="K785" s="17" t="str">
        <f t="shared" si="12"/>
        <v>Jun</v>
      </c>
    </row>
    <row r="786" spans="1:11" x14ac:dyDescent="0.25">
      <c r="A786" s="16" t="s">
        <v>11</v>
      </c>
      <c r="B786" s="4" t="s">
        <v>135</v>
      </c>
      <c r="C786" s="1">
        <v>1749</v>
      </c>
      <c r="D786" s="1" t="s">
        <v>340</v>
      </c>
      <c r="E786" s="1" t="s">
        <v>345</v>
      </c>
      <c r="F786" s="1" t="s">
        <v>349</v>
      </c>
      <c r="G786" s="1">
        <v>39</v>
      </c>
      <c r="H786" s="1">
        <v>3</v>
      </c>
      <c r="I786" s="1" t="s">
        <v>353</v>
      </c>
      <c r="J786" s="1">
        <v>3</v>
      </c>
      <c r="K786" s="17" t="str">
        <f t="shared" si="12"/>
        <v>Aug</v>
      </c>
    </row>
    <row r="787" spans="1:11" x14ac:dyDescent="0.25">
      <c r="A787" s="16" t="s">
        <v>13</v>
      </c>
      <c r="B787" s="4" t="s">
        <v>249</v>
      </c>
      <c r="C787" s="1">
        <v>1576</v>
      </c>
      <c r="D787" s="1" t="s">
        <v>342</v>
      </c>
      <c r="E787" s="1" t="s">
        <v>343</v>
      </c>
      <c r="F787" s="1" t="s">
        <v>349</v>
      </c>
      <c r="G787" s="1">
        <v>8</v>
      </c>
      <c r="H787" s="1">
        <v>8</v>
      </c>
      <c r="I787" s="1" t="s">
        <v>351</v>
      </c>
      <c r="J787" s="1">
        <v>5</v>
      </c>
      <c r="K787" s="17" t="str">
        <f t="shared" si="12"/>
        <v>Jun</v>
      </c>
    </row>
    <row r="788" spans="1:11" x14ac:dyDescent="0.25">
      <c r="A788" s="16" t="s">
        <v>12</v>
      </c>
      <c r="B788" s="1" t="s">
        <v>94</v>
      </c>
      <c r="C788" s="1">
        <v>1439</v>
      </c>
      <c r="D788" s="1" t="s">
        <v>340</v>
      </c>
      <c r="E788" s="1" t="s">
        <v>344</v>
      </c>
      <c r="F788" s="1" t="s">
        <v>348</v>
      </c>
      <c r="G788" s="1">
        <v>4</v>
      </c>
      <c r="H788" s="1">
        <v>0</v>
      </c>
      <c r="I788" s="1" t="s">
        <v>352</v>
      </c>
      <c r="J788" s="1">
        <v>3</v>
      </c>
      <c r="K788" s="17" t="str">
        <f t="shared" si="12"/>
        <v>Nov</v>
      </c>
    </row>
    <row r="789" spans="1:11" x14ac:dyDescent="0.25">
      <c r="A789" s="16" t="s">
        <v>10</v>
      </c>
      <c r="B789" s="1" t="s">
        <v>87</v>
      </c>
      <c r="C789" s="1">
        <v>1353</v>
      </c>
      <c r="D789" s="1" t="s">
        <v>341</v>
      </c>
      <c r="E789" s="1" t="s">
        <v>343</v>
      </c>
      <c r="F789" s="1" t="s">
        <v>347</v>
      </c>
      <c r="G789" s="1">
        <v>31</v>
      </c>
      <c r="H789" s="1">
        <v>1</v>
      </c>
      <c r="I789" s="1" t="s">
        <v>353</v>
      </c>
      <c r="J789" s="1">
        <v>2</v>
      </c>
      <c r="K789" s="17" t="str">
        <f t="shared" si="12"/>
        <v>Jan</v>
      </c>
    </row>
    <row r="790" spans="1:11" x14ac:dyDescent="0.25">
      <c r="A790" s="16" t="s">
        <v>11</v>
      </c>
      <c r="B790" s="1" t="s">
        <v>212</v>
      </c>
      <c r="C790" s="1">
        <v>1887</v>
      </c>
      <c r="D790" s="1" t="s">
        <v>340</v>
      </c>
      <c r="E790" s="1" t="s">
        <v>343</v>
      </c>
      <c r="F790" s="1" t="s">
        <v>347</v>
      </c>
      <c r="G790" s="1">
        <v>19</v>
      </c>
      <c r="H790" s="1">
        <v>1</v>
      </c>
      <c r="I790" s="1" t="s">
        <v>352</v>
      </c>
      <c r="J790" s="1">
        <v>0</v>
      </c>
      <c r="K790" s="17" t="str">
        <f t="shared" si="12"/>
        <v>Oct</v>
      </c>
    </row>
    <row r="791" spans="1:11" x14ac:dyDescent="0.25">
      <c r="A791" s="16" t="s">
        <v>11</v>
      </c>
      <c r="B791" s="1" t="s">
        <v>34</v>
      </c>
      <c r="C791" s="1">
        <v>1803</v>
      </c>
      <c r="D791" s="1" t="s">
        <v>342</v>
      </c>
      <c r="E791" s="1" t="s">
        <v>345</v>
      </c>
      <c r="F791" s="1" t="s">
        <v>350</v>
      </c>
      <c r="G791" s="1">
        <v>49</v>
      </c>
      <c r="H791" s="1">
        <v>5</v>
      </c>
      <c r="I791" s="1" t="s">
        <v>353</v>
      </c>
      <c r="J791" s="1">
        <v>5</v>
      </c>
      <c r="K791" s="17" t="str">
        <f t="shared" si="12"/>
        <v>Apr</v>
      </c>
    </row>
    <row r="792" spans="1:11" x14ac:dyDescent="0.25">
      <c r="A792" s="16" t="s">
        <v>10</v>
      </c>
      <c r="B792" s="4" t="s">
        <v>50</v>
      </c>
      <c r="C792" s="1">
        <v>1092</v>
      </c>
      <c r="D792" s="1" t="s">
        <v>341</v>
      </c>
      <c r="E792" s="1" t="s">
        <v>343</v>
      </c>
      <c r="F792" s="1" t="s">
        <v>349</v>
      </c>
      <c r="G792" s="1">
        <v>10</v>
      </c>
      <c r="H792" s="1">
        <v>3</v>
      </c>
      <c r="I792" s="1" t="s">
        <v>353</v>
      </c>
      <c r="J792" s="1">
        <v>1</v>
      </c>
      <c r="K792" s="17" t="str">
        <f t="shared" si="12"/>
        <v>Feb</v>
      </c>
    </row>
    <row r="793" spans="1:11" x14ac:dyDescent="0.25">
      <c r="A793" s="16" t="s">
        <v>13</v>
      </c>
      <c r="B793" s="1" t="s">
        <v>334</v>
      </c>
      <c r="C793" s="1">
        <v>1213</v>
      </c>
      <c r="D793" s="1" t="s">
        <v>342</v>
      </c>
      <c r="E793" s="1" t="s">
        <v>345</v>
      </c>
      <c r="F793" s="1" t="s">
        <v>350</v>
      </c>
      <c r="G793" s="1">
        <v>14</v>
      </c>
      <c r="H793" s="1">
        <v>10</v>
      </c>
      <c r="I793" s="1" t="s">
        <v>351</v>
      </c>
      <c r="J793" s="1">
        <v>2</v>
      </c>
      <c r="K793" s="17" t="str">
        <f t="shared" si="12"/>
        <v>Sep</v>
      </c>
    </row>
    <row r="794" spans="1:11" x14ac:dyDescent="0.25">
      <c r="A794" s="16" t="s">
        <v>11</v>
      </c>
      <c r="B794" s="1" t="s">
        <v>24</v>
      </c>
      <c r="C794" s="1">
        <v>1681</v>
      </c>
      <c r="D794" s="1" t="s">
        <v>341</v>
      </c>
      <c r="E794" s="1" t="s">
        <v>344</v>
      </c>
      <c r="F794" s="1" t="s">
        <v>350</v>
      </c>
      <c r="G794" s="1">
        <v>31</v>
      </c>
      <c r="H794" s="1">
        <v>9</v>
      </c>
      <c r="I794" s="1" t="s">
        <v>354</v>
      </c>
      <c r="J794" s="1">
        <v>3</v>
      </c>
      <c r="K794" s="17" t="str">
        <f t="shared" si="12"/>
        <v>Aug</v>
      </c>
    </row>
    <row r="795" spans="1:11" x14ac:dyDescent="0.25">
      <c r="A795" s="16" t="s">
        <v>12</v>
      </c>
      <c r="B795" s="1" t="s">
        <v>335</v>
      </c>
      <c r="C795" s="1">
        <v>1131</v>
      </c>
      <c r="D795" s="1" t="s">
        <v>340</v>
      </c>
      <c r="E795" s="1" t="s">
        <v>345</v>
      </c>
      <c r="F795" s="1" t="s">
        <v>348</v>
      </c>
      <c r="G795" s="1">
        <v>27</v>
      </c>
      <c r="H795" s="1">
        <v>2</v>
      </c>
      <c r="I795" s="1" t="s">
        <v>351</v>
      </c>
      <c r="J795" s="1">
        <v>5</v>
      </c>
      <c r="K795" s="17" t="str">
        <f t="shared" si="12"/>
        <v>Jun</v>
      </c>
    </row>
    <row r="796" spans="1:11" x14ac:dyDescent="0.25">
      <c r="A796" s="16" t="s">
        <v>11</v>
      </c>
      <c r="B796" s="1" t="s">
        <v>336</v>
      </c>
      <c r="C796" s="1">
        <v>558</v>
      </c>
      <c r="D796" s="1" t="s">
        <v>342</v>
      </c>
      <c r="E796" s="1" t="s">
        <v>345</v>
      </c>
      <c r="F796" s="1" t="s">
        <v>348</v>
      </c>
      <c r="G796" s="1">
        <v>21</v>
      </c>
      <c r="H796" s="1">
        <v>2</v>
      </c>
      <c r="I796" s="1" t="s">
        <v>352</v>
      </c>
      <c r="J796" s="1">
        <v>0</v>
      </c>
      <c r="K796" s="17" t="str">
        <f t="shared" si="12"/>
        <v>Dec</v>
      </c>
    </row>
    <row r="797" spans="1:11" x14ac:dyDescent="0.25">
      <c r="A797" s="16" t="s">
        <v>12</v>
      </c>
      <c r="B797" s="1" t="s">
        <v>337</v>
      </c>
      <c r="C797" s="1">
        <v>627</v>
      </c>
      <c r="D797" s="1" t="s">
        <v>342</v>
      </c>
      <c r="E797" s="1" t="s">
        <v>346</v>
      </c>
      <c r="F797" s="1" t="s">
        <v>350</v>
      </c>
      <c r="G797" s="1">
        <v>40</v>
      </c>
      <c r="H797" s="1">
        <v>2</v>
      </c>
      <c r="I797" s="1" t="s">
        <v>352</v>
      </c>
      <c r="J797" s="1">
        <v>4</v>
      </c>
      <c r="K797" s="17" t="str">
        <f t="shared" si="12"/>
        <v>Apr</v>
      </c>
    </row>
    <row r="798" spans="1:11" x14ac:dyDescent="0.25">
      <c r="A798" s="16" t="s">
        <v>10</v>
      </c>
      <c r="B798" s="4" t="s">
        <v>338</v>
      </c>
      <c r="C798" s="1">
        <v>1235</v>
      </c>
      <c r="D798" s="1" t="s">
        <v>341</v>
      </c>
      <c r="E798" s="1" t="s">
        <v>343</v>
      </c>
      <c r="F798" s="1" t="s">
        <v>349</v>
      </c>
      <c r="G798" s="1">
        <v>16</v>
      </c>
      <c r="H798" s="1">
        <v>5</v>
      </c>
      <c r="I798" s="1" t="s">
        <v>353</v>
      </c>
      <c r="J798" s="1">
        <v>1</v>
      </c>
      <c r="K798" s="17" t="str">
        <f t="shared" si="12"/>
        <v>Aug</v>
      </c>
    </row>
    <row r="799" spans="1:11" x14ac:dyDescent="0.25">
      <c r="A799" s="16" t="s">
        <v>12</v>
      </c>
      <c r="B799" s="1" t="s">
        <v>339</v>
      </c>
      <c r="C799" s="1">
        <v>1220</v>
      </c>
      <c r="D799" s="1" t="s">
        <v>342</v>
      </c>
      <c r="E799" s="1" t="s">
        <v>344</v>
      </c>
      <c r="F799" s="1" t="s">
        <v>348</v>
      </c>
      <c r="G799" s="1">
        <v>25</v>
      </c>
      <c r="H799" s="1">
        <v>7</v>
      </c>
      <c r="I799" s="1" t="s">
        <v>353</v>
      </c>
      <c r="J799" s="1">
        <v>3</v>
      </c>
      <c r="K799" s="17" t="str">
        <f t="shared" si="12"/>
        <v>Dec</v>
      </c>
    </row>
    <row r="800" spans="1:11" x14ac:dyDescent="0.25">
      <c r="A800" s="16" t="s">
        <v>10</v>
      </c>
      <c r="B800" s="1" t="s">
        <v>43</v>
      </c>
      <c r="C800" s="1">
        <v>1638</v>
      </c>
      <c r="D800" s="1" t="s">
        <v>341</v>
      </c>
      <c r="E800" s="1" t="s">
        <v>345</v>
      </c>
      <c r="F800" s="1" t="s">
        <v>350</v>
      </c>
      <c r="G800" s="1">
        <v>43</v>
      </c>
      <c r="H800" s="1">
        <v>10</v>
      </c>
      <c r="I800" s="1" t="s">
        <v>354</v>
      </c>
      <c r="J800" s="1">
        <v>2</v>
      </c>
      <c r="K800" s="17" t="str">
        <f t="shared" si="12"/>
        <v>Jul</v>
      </c>
    </row>
    <row r="801" spans="1:11" x14ac:dyDescent="0.25">
      <c r="A801" s="16" t="s">
        <v>12</v>
      </c>
      <c r="B801" s="1" t="s">
        <v>235</v>
      </c>
      <c r="C801" s="1">
        <v>1732</v>
      </c>
      <c r="D801" s="1" t="s">
        <v>341</v>
      </c>
      <c r="E801" s="1" t="s">
        <v>344</v>
      </c>
      <c r="F801" s="1" t="s">
        <v>350</v>
      </c>
      <c r="G801" s="1">
        <v>6</v>
      </c>
      <c r="H801" s="1">
        <v>6</v>
      </c>
      <c r="I801" s="1" t="s">
        <v>351</v>
      </c>
      <c r="J801" s="1">
        <v>0</v>
      </c>
      <c r="K801" s="17" t="str">
        <f t="shared" si="12"/>
        <v>Dec</v>
      </c>
    </row>
    <row r="802" spans="1:11" x14ac:dyDescent="0.25">
      <c r="A802" s="18" t="s">
        <v>10</v>
      </c>
      <c r="B802" s="19" t="s">
        <v>317</v>
      </c>
      <c r="C802" s="19">
        <v>1025</v>
      </c>
      <c r="D802" s="19" t="s">
        <v>341</v>
      </c>
      <c r="E802" s="19" t="s">
        <v>346</v>
      </c>
      <c r="F802" s="19" t="s">
        <v>350</v>
      </c>
      <c r="G802" s="19">
        <v>41</v>
      </c>
      <c r="H802" s="19">
        <v>3</v>
      </c>
      <c r="I802" s="19" t="s">
        <v>352</v>
      </c>
      <c r="J802" s="19">
        <v>1</v>
      </c>
      <c r="K802" s="20" t="str">
        <f t="shared" si="12"/>
        <v>Sep</v>
      </c>
    </row>
  </sheetData>
  <mergeCells count="1">
    <mergeCell ref="A1:K1"/>
  </mergeCells>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EAA5FC-8399-4EEC-9D1B-D46966488CD8}">
  <dimension ref="A1:MI41"/>
  <sheetViews>
    <sheetView zoomScale="94" zoomScaleNormal="104" workbookViewId="0">
      <selection activeCell="F23" sqref="F23:G23"/>
    </sheetView>
  </sheetViews>
  <sheetFormatPr defaultRowHeight="15" x14ac:dyDescent="0.25"/>
  <cols>
    <col min="1" max="1" width="29.44140625" style="21" bestFit="1" customWidth="1"/>
    <col min="2" max="2" width="28.21875" style="21" bestFit="1" customWidth="1"/>
    <col min="3" max="3" width="9" style="21" bestFit="1" customWidth="1"/>
    <col min="4" max="4" width="17.44140625" style="21" bestFit="1" customWidth="1"/>
    <col min="5" max="5" width="33.44140625" style="24" bestFit="1" customWidth="1"/>
    <col min="6" max="6" width="26.5546875" style="21" bestFit="1" customWidth="1"/>
    <col min="7" max="7" width="20.21875" style="21" bestFit="1" customWidth="1"/>
    <col min="8" max="8" width="18.5546875" style="21" bestFit="1" customWidth="1"/>
    <col min="9" max="9" width="8.5546875" style="21" bestFit="1" customWidth="1"/>
    <col min="10" max="10" width="9.6640625" style="21" bestFit="1" customWidth="1"/>
    <col min="11" max="11" width="9.5546875" style="21" bestFit="1" customWidth="1"/>
    <col min="12" max="12" width="13.21875" style="21" bestFit="1" customWidth="1"/>
    <col min="13" max="13" width="8.88671875" style="21"/>
    <col min="14" max="14" width="14.77734375" style="24" bestFit="1" customWidth="1"/>
    <col min="15" max="15" width="28" style="24" bestFit="1" customWidth="1"/>
    <col min="16" max="16" width="22" style="24" bestFit="1" customWidth="1"/>
    <col min="17" max="17" width="17" style="24" bestFit="1" customWidth="1"/>
    <col min="18" max="18" width="8.88671875" style="21"/>
    <col min="19" max="20" width="23.6640625" style="21" bestFit="1" customWidth="1"/>
    <col min="21" max="21" width="24.33203125" style="21" bestFit="1" customWidth="1"/>
    <col min="22" max="22" width="15.5546875" style="21" bestFit="1" customWidth="1"/>
    <col min="23" max="23" width="26.88671875" style="21" bestFit="1" customWidth="1"/>
    <col min="24" max="24" width="12.6640625" style="21" bestFit="1" customWidth="1"/>
    <col min="25" max="25" width="23.6640625" style="21" bestFit="1" customWidth="1"/>
    <col min="26" max="26" width="21" style="21" bestFit="1" customWidth="1"/>
    <col min="27" max="346" width="15.5546875" style="21" bestFit="1" customWidth="1"/>
    <col min="347" max="347" width="10.77734375" style="21" bestFit="1" customWidth="1"/>
    <col min="348" max="16384" width="8.88671875" style="21"/>
  </cols>
  <sheetData>
    <row r="1" spans="1:347" x14ac:dyDescent="0.25">
      <c r="A1" s="33" t="s">
        <v>384</v>
      </c>
      <c r="B1" s="33"/>
      <c r="C1" s="33"/>
      <c r="D1" s="33"/>
      <c r="E1" s="33"/>
      <c r="G1" s="33" t="s">
        <v>365</v>
      </c>
      <c r="H1" s="33"/>
      <c r="I1" s="33"/>
      <c r="J1" s="33"/>
      <c r="K1" s="33"/>
      <c r="L1" s="33"/>
    </row>
    <row r="2" spans="1:347" s="26" customFormat="1" ht="51.6" customHeight="1" x14ac:dyDescent="0.25">
      <c r="A2" s="33"/>
      <c r="B2" s="33"/>
      <c r="C2" s="33"/>
      <c r="D2" s="33"/>
      <c r="E2" s="33"/>
      <c r="G2" s="33"/>
      <c r="H2" s="33"/>
      <c r="I2" s="33"/>
      <c r="J2" s="33"/>
      <c r="K2" s="33"/>
      <c r="L2" s="33"/>
    </row>
    <row r="3" spans="1:347" x14ac:dyDescent="0.25">
      <c r="A3" s="27" t="s">
        <v>359</v>
      </c>
      <c r="B3" s="27" t="s">
        <v>358</v>
      </c>
      <c r="C3" s="28"/>
      <c r="D3" s="28"/>
      <c r="E3" s="28"/>
      <c r="G3" s="27" t="s">
        <v>360</v>
      </c>
      <c r="H3" s="27" t="s">
        <v>358</v>
      </c>
      <c r="I3" s="28"/>
      <c r="J3" s="28"/>
      <c r="K3" s="28"/>
      <c r="L3" s="28"/>
    </row>
    <row r="4" spans="1:347" s="24" customFormat="1" x14ac:dyDescent="0.25">
      <c r="A4" s="22" t="s">
        <v>356</v>
      </c>
      <c r="B4" s="23" t="s">
        <v>340</v>
      </c>
      <c r="C4" s="23" t="s">
        <v>341</v>
      </c>
      <c r="D4" s="23" t="s">
        <v>342</v>
      </c>
      <c r="E4" s="23" t="s">
        <v>357</v>
      </c>
      <c r="G4" s="27" t="s">
        <v>356</v>
      </c>
      <c r="H4" s="28" t="s">
        <v>349</v>
      </c>
      <c r="I4" s="28" t="s">
        <v>348</v>
      </c>
      <c r="J4" s="28" t="s">
        <v>347</v>
      </c>
      <c r="K4" s="28" t="s">
        <v>350</v>
      </c>
      <c r="L4" s="28" t="s">
        <v>357</v>
      </c>
      <c r="U4" s="21"/>
      <c r="V4" s="21"/>
      <c r="X4" s="21"/>
      <c r="Y4" s="21"/>
      <c r="Z4" s="21"/>
      <c r="AA4" s="21"/>
      <c r="AB4" s="21"/>
      <c r="AC4" s="21"/>
      <c r="AD4" s="21"/>
      <c r="AE4" s="21"/>
      <c r="AF4" s="21"/>
      <c r="AG4" s="21"/>
      <c r="AH4" s="21"/>
      <c r="AI4" s="21"/>
      <c r="AJ4" s="21"/>
      <c r="AK4" s="21"/>
      <c r="AL4" s="21"/>
      <c r="AM4" s="21"/>
      <c r="AN4" s="21"/>
      <c r="AO4" s="21"/>
      <c r="AP4" s="21"/>
      <c r="AQ4" s="21"/>
      <c r="AR4" s="21"/>
      <c r="AS4" s="21"/>
      <c r="AT4" s="21"/>
      <c r="AU4" s="21"/>
      <c r="AV4" s="21"/>
      <c r="AW4" s="21"/>
      <c r="AX4" s="21"/>
      <c r="AY4" s="21"/>
      <c r="AZ4" s="21"/>
      <c r="BA4" s="21"/>
      <c r="BB4" s="21"/>
      <c r="BC4" s="21"/>
      <c r="BD4" s="21"/>
      <c r="BE4" s="21"/>
      <c r="BF4" s="21"/>
      <c r="BG4" s="21"/>
      <c r="BH4" s="21"/>
      <c r="BI4" s="21"/>
      <c r="BJ4" s="21"/>
      <c r="BK4" s="21"/>
      <c r="BL4" s="21"/>
      <c r="BM4" s="21"/>
      <c r="BN4" s="21"/>
      <c r="BO4" s="21"/>
      <c r="BP4" s="21"/>
      <c r="BQ4" s="21"/>
      <c r="BR4" s="21"/>
      <c r="BS4" s="21"/>
      <c r="BT4" s="21"/>
      <c r="BU4" s="21"/>
      <c r="BV4" s="21"/>
      <c r="BW4" s="21"/>
      <c r="BX4" s="21"/>
      <c r="BY4" s="21"/>
      <c r="BZ4" s="21"/>
      <c r="CA4" s="21"/>
      <c r="CB4" s="21"/>
      <c r="CC4" s="21"/>
      <c r="CD4" s="21"/>
      <c r="CE4" s="21"/>
      <c r="CF4" s="21"/>
      <c r="CG4" s="21"/>
      <c r="CH4" s="21"/>
      <c r="CI4" s="21"/>
      <c r="CJ4" s="21"/>
      <c r="CK4" s="21"/>
      <c r="CL4" s="21"/>
      <c r="CM4" s="21"/>
      <c r="CN4" s="21"/>
      <c r="CO4" s="21"/>
      <c r="CP4" s="21"/>
      <c r="CQ4" s="21"/>
      <c r="CR4" s="21"/>
      <c r="CS4" s="21"/>
      <c r="CT4" s="21"/>
      <c r="CU4" s="21"/>
      <c r="CV4" s="21"/>
      <c r="CW4" s="21"/>
      <c r="CX4" s="21"/>
      <c r="CY4" s="21"/>
      <c r="CZ4" s="21"/>
      <c r="DA4" s="21"/>
      <c r="DB4" s="21"/>
      <c r="DC4" s="21"/>
      <c r="DD4" s="21"/>
      <c r="DE4" s="21"/>
      <c r="DF4" s="21"/>
      <c r="DG4" s="21"/>
      <c r="DH4" s="21"/>
      <c r="DI4" s="21"/>
      <c r="DJ4" s="21"/>
      <c r="DK4" s="21"/>
      <c r="DL4" s="21"/>
      <c r="DM4" s="21"/>
      <c r="DN4" s="21"/>
      <c r="DO4" s="21"/>
      <c r="DP4" s="21"/>
      <c r="DQ4" s="21"/>
      <c r="DR4" s="21"/>
      <c r="DS4" s="21"/>
      <c r="DT4" s="21"/>
      <c r="DU4" s="21"/>
      <c r="DV4" s="21"/>
      <c r="DW4" s="21"/>
      <c r="DX4" s="21"/>
      <c r="DY4" s="21"/>
      <c r="DZ4" s="21"/>
      <c r="EA4" s="21"/>
      <c r="EB4" s="21"/>
      <c r="EC4" s="21"/>
      <c r="ED4" s="21"/>
      <c r="EE4" s="21"/>
      <c r="EF4" s="21"/>
      <c r="EG4" s="21"/>
      <c r="EH4" s="21"/>
      <c r="EI4" s="21"/>
      <c r="EJ4" s="21"/>
      <c r="EK4" s="21"/>
      <c r="EL4" s="21"/>
      <c r="EM4" s="21"/>
      <c r="EN4" s="21"/>
      <c r="EO4" s="21"/>
      <c r="EP4" s="21"/>
      <c r="EQ4" s="21"/>
      <c r="ER4" s="21"/>
      <c r="ES4" s="21"/>
      <c r="ET4" s="21"/>
      <c r="EU4" s="21"/>
      <c r="EV4" s="21"/>
      <c r="EW4" s="21"/>
      <c r="EX4" s="21"/>
      <c r="EY4" s="21"/>
      <c r="EZ4" s="21"/>
      <c r="FA4" s="21"/>
      <c r="FB4" s="21"/>
      <c r="FC4" s="21"/>
      <c r="FD4" s="21"/>
      <c r="FE4" s="21"/>
      <c r="FF4" s="21"/>
      <c r="FG4" s="21"/>
      <c r="FH4" s="21"/>
      <c r="FI4" s="21"/>
      <c r="FJ4" s="21"/>
      <c r="FK4" s="21"/>
      <c r="FL4" s="21"/>
      <c r="FM4" s="21"/>
      <c r="FN4" s="21"/>
      <c r="FO4" s="21"/>
      <c r="FP4" s="21"/>
      <c r="FQ4" s="21"/>
      <c r="FR4" s="21"/>
      <c r="FS4" s="21"/>
      <c r="FT4" s="21"/>
      <c r="FU4" s="21"/>
      <c r="FV4" s="21"/>
      <c r="FW4" s="21"/>
      <c r="FX4" s="21"/>
      <c r="FY4" s="21"/>
      <c r="FZ4" s="21"/>
      <c r="GA4" s="21"/>
      <c r="GB4" s="21"/>
      <c r="GC4" s="21"/>
      <c r="GD4" s="21"/>
      <c r="GE4" s="21"/>
      <c r="GF4" s="21"/>
      <c r="GG4" s="21"/>
      <c r="GH4" s="21"/>
      <c r="GI4" s="21"/>
      <c r="GJ4" s="21"/>
      <c r="GK4" s="21"/>
      <c r="GL4" s="21"/>
      <c r="GM4" s="21"/>
      <c r="GN4" s="21"/>
      <c r="GO4" s="21"/>
      <c r="GP4" s="21"/>
      <c r="GQ4" s="21"/>
      <c r="GR4" s="21"/>
      <c r="GS4" s="21"/>
      <c r="GT4" s="21"/>
      <c r="GU4" s="21"/>
      <c r="GV4" s="21"/>
      <c r="GW4" s="21"/>
      <c r="GX4" s="21"/>
      <c r="GY4" s="21"/>
      <c r="GZ4" s="21"/>
      <c r="HA4" s="21"/>
      <c r="HB4" s="21"/>
      <c r="HC4" s="21"/>
      <c r="HD4" s="21"/>
      <c r="HE4" s="21"/>
      <c r="HF4" s="21"/>
      <c r="HG4" s="21"/>
      <c r="HH4" s="21"/>
      <c r="HI4" s="21"/>
      <c r="HJ4" s="21"/>
      <c r="HK4" s="21"/>
      <c r="HL4" s="21"/>
      <c r="HM4" s="21"/>
      <c r="HN4" s="21"/>
      <c r="HO4" s="21"/>
      <c r="HP4" s="21"/>
      <c r="HQ4" s="21"/>
      <c r="HR4" s="21"/>
      <c r="HS4" s="21"/>
      <c r="HT4" s="21"/>
      <c r="HU4" s="21"/>
      <c r="HV4" s="21"/>
      <c r="HW4" s="21"/>
      <c r="HX4" s="21"/>
      <c r="HY4" s="21"/>
      <c r="HZ4" s="21"/>
      <c r="IA4" s="21"/>
      <c r="IB4" s="21"/>
      <c r="IC4" s="21"/>
      <c r="ID4" s="21"/>
      <c r="IE4" s="21"/>
      <c r="IF4" s="21"/>
      <c r="IG4" s="21"/>
      <c r="IH4" s="21"/>
      <c r="II4" s="21"/>
      <c r="IJ4" s="21"/>
      <c r="IK4" s="21"/>
      <c r="IL4" s="21"/>
      <c r="IM4" s="21"/>
      <c r="IN4" s="21"/>
      <c r="IO4" s="21"/>
      <c r="IP4" s="21"/>
      <c r="IQ4" s="21"/>
      <c r="IR4" s="21"/>
      <c r="IS4" s="21"/>
      <c r="IT4" s="21"/>
      <c r="IU4" s="21"/>
      <c r="IV4" s="21"/>
      <c r="IW4" s="21"/>
      <c r="IX4" s="21"/>
      <c r="IY4" s="21"/>
      <c r="IZ4" s="21"/>
      <c r="JA4" s="21"/>
      <c r="JB4" s="21"/>
      <c r="JC4" s="21"/>
      <c r="JD4" s="21"/>
      <c r="JE4" s="21"/>
      <c r="JF4" s="21"/>
      <c r="JG4" s="21"/>
      <c r="JH4" s="21"/>
      <c r="JI4" s="21"/>
      <c r="JJ4" s="21"/>
      <c r="JK4" s="21"/>
      <c r="JL4" s="21"/>
      <c r="JM4" s="21"/>
      <c r="JN4" s="21"/>
      <c r="JO4" s="21"/>
      <c r="JP4" s="21"/>
      <c r="JQ4" s="21"/>
      <c r="JR4" s="21"/>
      <c r="JS4" s="21"/>
      <c r="JT4" s="21"/>
      <c r="JU4" s="21"/>
      <c r="JV4" s="21"/>
      <c r="JW4" s="21"/>
      <c r="JX4" s="21"/>
      <c r="JY4" s="21"/>
      <c r="JZ4" s="21"/>
      <c r="KA4" s="21"/>
      <c r="KB4" s="21"/>
      <c r="KC4" s="21"/>
      <c r="KD4" s="21"/>
      <c r="KE4" s="21"/>
      <c r="KF4" s="21"/>
      <c r="KG4" s="21"/>
      <c r="KH4" s="21"/>
      <c r="KI4" s="21"/>
      <c r="KJ4" s="21"/>
      <c r="KK4" s="21"/>
      <c r="KL4" s="21"/>
      <c r="KM4" s="21"/>
      <c r="KN4" s="21"/>
      <c r="KO4" s="21"/>
      <c r="KP4" s="21"/>
      <c r="KQ4" s="21"/>
      <c r="KR4" s="21"/>
      <c r="KS4" s="21"/>
      <c r="KT4" s="21"/>
      <c r="KU4" s="21"/>
      <c r="KV4" s="21"/>
      <c r="KW4" s="21"/>
      <c r="KX4" s="21"/>
      <c r="KY4" s="21"/>
      <c r="KZ4" s="21"/>
      <c r="LA4" s="21"/>
      <c r="LB4" s="21"/>
      <c r="LC4" s="21"/>
      <c r="LD4" s="21"/>
      <c r="LE4" s="21"/>
      <c r="LF4" s="21"/>
      <c r="LG4" s="21"/>
      <c r="LH4" s="21"/>
      <c r="LI4" s="21"/>
      <c r="LJ4" s="21"/>
      <c r="LK4" s="21"/>
      <c r="LL4" s="21"/>
      <c r="LM4" s="21"/>
      <c r="LN4" s="21"/>
      <c r="LO4" s="21"/>
      <c r="LP4" s="21"/>
      <c r="LQ4" s="21"/>
      <c r="LR4" s="21"/>
      <c r="LS4" s="21"/>
      <c r="LT4" s="21"/>
      <c r="LU4" s="21"/>
      <c r="LV4" s="21"/>
      <c r="LW4" s="21"/>
      <c r="LX4" s="21"/>
      <c r="LY4" s="21"/>
      <c r="LZ4" s="21"/>
      <c r="MA4" s="21"/>
      <c r="MB4" s="21"/>
      <c r="MC4" s="21"/>
      <c r="MD4" s="21"/>
      <c r="ME4" s="21"/>
      <c r="MF4" s="21"/>
      <c r="MG4" s="21"/>
      <c r="MH4" s="21"/>
      <c r="MI4" s="21"/>
    </row>
    <row r="5" spans="1:347" x14ac:dyDescent="0.25">
      <c r="A5" s="29" t="s">
        <v>10</v>
      </c>
      <c r="B5" s="48">
        <v>78564</v>
      </c>
      <c r="C5" s="48">
        <v>80534</v>
      </c>
      <c r="D5" s="48">
        <v>75062</v>
      </c>
      <c r="E5" s="49">
        <v>234160</v>
      </c>
      <c r="G5" s="29" t="s">
        <v>10</v>
      </c>
      <c r="H5" s="48">
        <v>1149</v>
      </c>
      <c r="I5" s="48">
        <v>1156</v>
      </c>
      <c r="J5" s="48">
        <v>1223</v>
      </c>
      <c r="K5" s="48">
        <v>1168</v>
      </c>
      <c r="L5" s="48">
        <v>4696</v>
      </c>
    </row>
    <row r="6" spans="1:347" x14ac:dyDescent="0.25">
      <c r="A6" s="29" t="s">
        <v>11</v>
      </c>
      <c r="B6" s="48">
        <v>96463</v>
      </c>
      <c r="C6" s="48">
        <v>96645</v>
      </c>
      <c r="D6" s="48">
        <v>88809</v>
      </c>
      <c r="E6" s="49">
        <v>281917</v>
      </c>
      <c r="G6" s="29" t="s">
        <v>11</v>
      </c>
      <c r="H6" s="48">
        <v>1290</v>
      </c>
      <c r="I6" s="48">
        <v>1785</v>
      </c>
      <c r="J6" s="48">
        <v>1569</v>
      </c>
      <c r="K6" s="48">
        <v>1213</v>
      </c>
      <c r="L6" s="48">
        <v>5857</v>
      </c>
    </row>
    <row r="7" spans="1:347" x14ac:dyDescent="0.25">
      <c r="A7" s="29" t="s">
        <v>13</v>
      </c>
      <c r="B7" s="48">
        <v>90646</v>
      </c>
      <c r="C7" s="48">
        <v>86507</v>
      </c>
      <c r="D7" s="48">
        <v>66733</v>
      </c>
      <c r="E7" s="49">
        <v>243886</v>
      </c>
      <c r="G7" s="29" t="s">
        <v>13</v>
      </c>
      <c r="H7" s="48">
        <v>1160</v>
      </c>
      <c r="I7" s="48">
        <v>1151</v>
      </c>
      <c r="J7" s="48">
        <v>1197</v>
      </c>
      <c r="K7" s="48">
        <v>1193</v>
      </c>
      <c r="L7" s="48">
        <v>4701</v>
      </c>
    </row>
    <row r="8" spans="1:347" x14ac:dyDescent="0.25">
      <c r="A8" s="29" t="s">
        <v>12</v>
      </c>
      <c r="B8" s="48">
        <v>80115</v>
      </c>
      <c r="C8" s="48">
        <v>81993</v>
      </c>
      <c r="D8" s="48">
        <v>90846</v>
      </c>
      <c r="E8" s="49">
        <v>252954</v>
      </c>
      <c r="G8" s="29" t="s">
        <v>12</v>
      </c>
      <c r="H8" s="48">
        <v>1202</v>
      </c>
      <c r="I8" s="48">
        <v>1664</v>
      </c>
      <c r="J8" s="48">
        <v>1018</v>
      </c>
      <c r="K8" s="48">
        <v>1317</v>
      </c>
      <c r="L8" s="48">
        <v>5201</v>
      </c>
    </row>
    <row r="9" spans="1:347" x14ac:dyDescent="0.25">
      <c r="A9" s="29" t="s">
        <v>357</v>
      </c>
      <c r="B9" s="48">
        <v>345788</v>
      </c>
      <c r="C9" s="48">
        <v>345679</v>
      </c>
      <c r="D9" s="48">
        <v>321450</v>
      </c>
      <c r="E9" s="49">
        <v>1012917</v>
      </c>
      <c r="G9" s="29" t="s">
        <v>357</v>
      </c>
      <c r="H9" s="48">
        <v>4801</v>
      </c>
      <c r="I9" s="48">
        <v>5756</v>
      </c>
      <c r="J9" s="48">
        <v>5007</v>
      </c>
      <c r="K9" s="48">
        <v>4891</v>
      </c>
      <c r="L9" s="48">
        <v>20455</v>
      </c>
    </row>
    <row r="10" spans="1:347" x14ac:dyDescent="0.25">
      <c r="A10" s="34"/>
      <c r="B10" s="34"/>
      <c r="C10" s="34"/>
      <c r="D10" s="34"/>
      <c r="E10" s="34"/>
    </row>
    <row r="11" spans="1:347" x14ac:dyDescent="0.25">
      <c r="D11" s="31" t="s">
        <v>364</v>
      </c>
      <c r="E11" s="31"/>
      <c r="F11" s="31"/>
      <c r="G11" s="31"/>
    </row>
    <row r="12" spans="1:347" x14ac:dyDescent="0.25">
      <c r="A12" s="27" t="s">
        <v>356</v>
      </c>
      <c r="B12" s="28" t="s">
        <v>366</v>
      </c>
      <c r="D12" s="32"/>
      <c r="E12" s="32"/>
      <c r="F12" s="32"/>
      <c r="G12" s="32"/>
    </row>
    <row r="13" spans="1:347" x14ac:dyDescent="0.25">
      <c r="A13" s="29" t="s">
        <v>10</v>
      </c>
      <c r="B13" s="30">
        <v>0.23375000000000001</v>
      </c>
      <c r="D13" s="22" t="s">
        <v>356</v>
      </c>
      <c r="E13" s="23" t="s">
        <v>361</v>
      </c>
      <c r="F13" s="23" t="s">
        <v>362</v>
      </c>
      <c r="G13" s="23" t="s">
        <v>363</v>
      </c>
    </row>
    <row r="14" spans="1:347" x14ac:dyDescent="0.25">
      <c r="A14" s="29" t="s">
        <v>11</v>
      </c>
      <c r="B14" s="30">
        <v>0.28375</v>
      </c>
      <c r="D14" s="23" t="s">
        <v>351</v>
      </c>
      <c r="E14" s="25">
        <v>2.6698564593301435</v>
      </c>
      <c r="F14" s="49">
        <v>270683</v>
      </c>
      <c r="G14" s="49">
        <v>5287</v>
      </c>
    </row>
    <row r="15" spans="1:347" x14ac:dyDescent="0.25">
      <c r="A15" s="29" t="s">
        <v>13</v>
      </c>
      <c r="B15" s="30">
        <v>0.23375000000000001</v>
      </c>
      <c r="D15" s="23" t="s">
        <v>352</v>
      </c>
      <c r="E15" s="25">
        <v>2.6111111111111112</v>
      </c>
      <c r="F15" s="49">
        <v>272571</v>
      </c>
      <c r="G15" s="49">
        <v>5337</v>
      </c>
    </row>
    <row r="16" spans="1:347" x14ac:dyDescent="0.25">
      <c r="A16" s="29" t="s">
        <v>12</v>
      </c>
      <c r="B16" s="30">
        <v>0.24875</v>
      </c>
      <c r="D16" s="23" t="s">
        <v>354</v>
      </c>
      <c r="E16" s="25">
        <v>2.5519125683060109</v>
      </c>
      <c r="F16" s="49">
        <v>230633</v>
      </c>
      <c r="G16" s="49">
        <v>4788</v>
      </c>
    </row>
    <row r="17" spans="1:7" x14ac:dyDescent="0.25">
      <c r="A17" s="29" t="s">
        <v>357</v>
      </c>
      <c r="B17" s="30">
        <v>1</v>
      </c>
      <c r="D17" s="23" t="s">
        <v>353</v>
      </c>
      <c r="E17" s="25">
        <v>2.4635416666666665</v>
      </c>
      <c r="F17" s="49">
        <v>239030</v>
      </c>
      <c r="G17" s="49">
        <v>5043</v>
      </c>
    </row>
    <row r="18" spans="1:7" x14ac:dyDescent="0.25">
      <c r="D18" s="23" t="s">
        <v>357</v>
      </c>
      <c r="E18" s="25">
        <v>2.5775000000000001</v>
      </c>
      <c r="F18" s="49">
        <v>1012917</v>
      </c>
      <c r="G18" s="49">
        <v>20455</v>
      </c>
    </row>
    <row r="20" spans="1:7" x14ac:dyDescent="0.25">
      <c r="A20" s="27" t="s">
        <v>356</v>
      </c>
      <c r="B20" s="28" t="s">
        <v>359</v>
      </c>
    </row>
    <row r="21" spans="1:7" x14ac:dyDescent="0.25">
      <c r="A21" s="29" t="s">
        <v>345</v>
      </c>
      <c r="B21" s="48">
        <v>261846</v>
      </c>
      <c r="D21" s="27" t="s">
        <v>356</v>
      </c>
      <c r="E21" s="28" t="s">
        <v>385</v>
      </c>
    </row>
    <row r="22" spans="1:7" x14ac:dyDescent="0.25">
      <c r="A22" s="29" t="s">
        <v>343</v>
      </c>
      <c r="B22" s="48">
        <v>256160</v>
      </c>
      <c r="D22" s="29" t="s">
        <v>370</v>
      </c>
      <c r="E22" s="28">
        <v>82146</v>
      </c>
    </row>
    <row r="23" spans="1:7" x14ac:dyDescent="0.25">
      <c r="A23" s="29" t="s">
        <v>344</v>
      </c>
      <c r="B23" s="48">
        <v>266512</v>
      </c>
      <c r="D23" s="29" t="s">
        <v>371</v>
      </c>
      <c r="E23" s="28">
        <v>85927</v>
      </c>
    </row>
    <row r="24" spans="1:7" x14ac:dyDescent="0.25">
      <c r="A24" s="29" t="s">
        <v>346</v>
      </c>
      <c r="B24" s="48">
        <v>228399</v>
      </c>
      <c r="D24" s="29" t="s">
        <v>372</v>
      </c>
      <c r="E24" s="28">
        <v>103902</v>
      </c>
    </row>
    <row r="25" spans="1:7" x14ac:dyDescent="0.25">
      <c r="A25" s="29" t="s">
        <v>357</v>
      </c>
      <c r="B25" s="48">
        <v>1012917</v>
      </c>
      <c r="D25" s="29" t="s">
        <v>373</v>
      </c>
      <c r="E25" s="28">
        <v>64843</v>
      </c>
    </row>
    <row r="26" spans="1:7" x14ac:dyDescent="0.25">
      <c r="D26" s="29" t="s">
        <v>374</v>
      </c>
      <c r="E26" s="28">
        <v>70422</v>
      </c>
    </row>
    <row r="27" spans="1:7" x14ac:dyDescent="0.25">
      <c r="D27" s="29" t="s">
        <v>375</v>
      </c>
      <c r="E27" s="28">
        <v>74349</v>
      </c>
    </row>
    <row r="28" spans="1:7" x14ac:dyDescent="0.25">
      <c r="A28" s="28" t="s">
        <v>359</v>
      </c>
      <c r="D28" s="29" t="s">
        <v>376</v>
      </c>
      <c r="E28" s="28">
        <v>83364</v>
      </c>
    </row>
    <row r="29" spans="1:7" x14ac:dyDescent="0.25">
      <c r="A29" s="48">
        <v>1012917</v>
      </c>
      <c r="D29" s="29" t="s">
        <v>377</v>
      </c>
      <c r="E29" s="28">
        <v>97593</v>
      </c>
    </row>
    <row r="30" spans="1:7" x14ac:dyDescent="0.25">
      <c r="D30" s="29" t="s">
        <v>378</v>
      </c>
      <c r="E30" s="28">
        <v>84829</v>
      </c>
    </row>
    <row r="31" spans="1:7" x14ac:dyDescent="0.25">
      <c r="A31" s="28" t="s">
        <v>360</v>
      </c>
      <c r="D31" s="29" t="s">
        <v>379</v>
      </c>
      <c r="E31" s="28">
        <v>84464</v>
      </c>
    </row>
    <row r="32" spans="1:7" x14ac:dyDescent="0.25">
      <c r="A32" s="28">
        <v>20455</v>
      </c>
      <c r="D32" s="29" t="s">
        <v>380</v>
      </c>
      <c r="E32" s="28">
        <v>85303</v>
      </c>
    </row>
    <row r="33" spans="1:5" x14ac:dyDescent="0.25">
      <c r="D33" s="29" t="s">
        <v>381</v>
      </c>
      <c r="E33" s="28">
        <v>95775</v>
      </c>
    </row>
    <row r="34" spans="1:5" x14ac:dyDescent="0.25">
      <c r="A34" s="28" t="s">
        <v>367</v>
      </c>
      <c r="D34" s="29" t="s">
        <v>357</v>
      </c>
      <c r="E34" s="28">
        <v>1012917</v>
      </c>
    </row>
    <row r="35" spans="1:5" x14ac:dyDescent="0.25">
      <c r="A35" s="48">
        <v>2062</v>
      </c>
    </row>
    <row r="37" spans="1:5" x14ac:dyDescent="0.25">
      <c r="A37" s="28" t="s">
        <v>383</v>
      </c>
    </row>
    <row r="38" spans="1:5" x14ac:dyDescent="0.25">
      <c r="A38" s="28">
        <v>3997</v>
      </c>
    </row>
    <row r="40" spans="1:5" x14ac:dyDescent="0.25">
      <c r="A40" s="28" t="s">
        <v>369</v>
      </c>
    </row>
    <row r="41" spans="1:5" x14ac:dyDescent="0.25">
      <c r="A41" s="28">
        <v>1266.14625</v>
      </c>
    </row>
  </sheetData>
  <mergeCells count="4">
    <mergeCell ref="D11:G12"/>
    <mergeCell ref="A1:E2"/>
    <mergeCell ref="G1:L2"/>
    <mergeCell ref="A10:E10"/>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655EDE-193E-41B8-875A-EDD09328B460}">
  <dimension ref="A1"/>
  <sheetViews>
    <sheetView topLeftCell="A9" zoomScale="78" workbookViewId="0">
      <selection activeCell="G43" sqref="G43"/>
    </sheetView>
  </sheetViews>
  <sheetFormatPr defaultRowHeight="23.4" x14ac:dyDescent="0.45"/>
  <cols>
    <col min="1" max="16384" width="8.88671875" style="9"/>
  </cols>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03E3AE-9572-477E-8A87-1F092EB7E736}">
  <dimension ref="C1:AA51"/>
  <sheetViews>
    <sheetView showGridLines="0" tabSelected="1" zoomScale="65" zoomScaleNormal="85" workbookViewId="0">
      <selection activeCell="AF15" sqref="AF15"/>
    </sheetView>
  </sheetViews>
  <sheetFormatPr defaultRowHeight="14.4" x14ac:dyDescent="0.3"/>
  <cols>
    <col min="2" max="2" width="7.109375" customWidth="1"/>
    <col min="3" max="3" width="2.21875" hidden="1" customWidth="1"/>
    <col min="24" max="24" width="11.109375" customWidth="1"/>
  </cols>
  <sheetData>
    <row r="1" spans="4:27" x14ac:dyDescent="0.3">
      <c r="D1" s="35" t="s">
        <v>382</v>
      </c>
      <c r="E1" s="36"/>
      <c r="F1" s="36"/>
      <c r="G1" s="36"/>
      <c r="H1" s="36"/>
      <c r="I1" s="36"/>
      <c r="J1" s="36"/>
      <c r="K1" s="36"/>
      <c r="L1" s="36"/>
      <c r="M1" s="36"/>
      <c r="N1" s="36"/>
      <c r="O1" s="36"/>
      <c r="P1" s="36"/>
      <c r="Q1" s="36"/>
      <c r="R1" s="36"/>
      <c r="S1" s="36"/>
      <c r="T1" s="36"/>
      <c r="U1" s="36"/>
      <c r="V1" s="36"/>
      <c r="W1" s="36"/>
      <c r="X1" s="37"/>
    </row>
    <row r="2" spans="4:27" s="8" customFormat="1" ht="14.4" customHeight="1" x14ac:dyDescent="0.3">
      <c r="D2" s="38"/>
      <c r="E2" s="39"/>
      <c r="F2" s="39"/>
      <c r="G2" s="39"/>
      <c r="H2" s="39"/>
      <c r="I2" s="39"/>
      <c r="J2" s="39"/>
      <c r="K2" s="39"/>
      <c r="L2" s="39"/>
      <c r="M2" s="39"/>
      <c r="N2" s="39"/>
      <c r="O2" s="39"/>
      <c r="P2" s="39"/>
      <c r="Q2" s="39"/>
      <c r="R2" s="39"/>
      <c r="S2" s="39"/>
      <c r="T2" s="39"/>
      <c r="U2" s="39"/>
      <c r="V2" s="39"/>
      <c r="W2" s="39"/>
      <c r="X2" s="40"/>
      <c r="Y2" s="7"/>
      <c r="Z2" s="7"/>
      <c r="AA2" s="7"/>
    </row>
    <row r="3" spans="4:27" s="8" customFormat="1" ht="25.2" customHeight="1" x14ac:dyDescent="0.3">
      <c r="D3" s="38"/>
      <c r="E3" s="39"/>
      <c r="F3" s="39"/>
      <c r="G3" s="39"/>
      <c r="H3" s="39"/>
      <c r="I3" s="39"/>
      <c r="J3" s="39"/>
      <c r="K3" s="39"/>
      <c r="L3" s="39"/>
      <c r="M3" s="39"/>
      <c r="N3" s="39"/>
      <c r="O3" s="39"/>
      <c r="P3" s="39"/>
      <c r="Q3" s="39"/>
      <c r="R3" s="39"/>
      <c r="S3" s="39"/>
      <c r="T3" s="39"/>
      <c r="U3" s="39"/>
      <c r="V3" s="39"/>
      <c r="W3" s="39"/>
      <c r="X3" s="40"/>
      <c r="Y3" s="7"/>
      <c r="Z3" s="7"/>
      <c r="AA3" s="7"/>
    </row>
    <row r="4" spans="4:27" x14ac:dyDescent="0.3">
      <c r="D4" s="10"/>
      <c r="E4" s="11"/>
      <c r="F4" s="11"/>
      <c r="G4" s="11"/>
      <c r="H4" s="11"/>
      <c r="I4" s="11"/>
      <c r="J4" s="11"/>
      <c r="K4" s="11"/>
      <c r="L4" s="11"/>
      <c r="M4" s="11"/>
      <c r="N4" s="11"/>
      <c r="O4" s="11"/>
      <c r="P4" s="11"/>
      <c r="Q4" s="11"/>
      <c r="R4" s="11"/>
      <c r="S4" s="11"/>
      <c r="T4" s="11"/>
      <c r="U4" s="11"/>
      <c r="V4" s="11"/>
      <c r="W4" s="11"/>
      <c r="X4" s="12"/>
    </row>
    <row r="5" spans="4:27" x14ac:dyDescent="0.3">
      <c r="D5" s="10"/>
      <c r="E5" s="11"/>
      <c r="F5" s="11"/>
      <c r="G5" s="11"/>
      <c r="H5" s="11"/>
      <c r="I5" s="11"/>
      <c r="J5" s="11"/>
      <c r="K5" s="11"/>
      <c r="L5" s="11"/>
      <c r="M5" s="11"/>
      <c r="N5" s="11"/>
      <c r="O5" s="11"/>
      <c r="P5" s="11"/>
      <c r="Q5" s="11"/>
      <c r="R5" s="11"/>
      <c r="S5" s="11"/>
      <c r="T5" s="11"/>
      <c r="U5" s="11"/>
      <c r="V5" s="11"/>
      <c r="W5" s="11"/>
      <c r="X5" s="12"/>
    </row>
    <row r="6" spans="4:27" x14ac:dyDescent="0.3">
      <c r="D6" s="10"/>
      <c r="E6" s="11"/>
      <c r="F6" s="11"/>
      <c r="G6" s="11"/>
      <c r="H6" s="11"/>
      <c r="I6" s="11"/>
      <c r="J6" s="11"/>
      <c r="K6" s="11"/>
      <c r="L6" s="11"/>
      <c r="M6" s="11"/>
      <c r="N6" s="11"/>
      <c r="O6" s="11"/>
      <c r="P6" s="11"/>
      <c r="Q6" s="11"/>
      <c r="R6" s="11"/>
      <c r="S6" s="11"/>
      <c r="T6" s="11"/>
      <c r="U6" s="11"/>
      <c r="V6" s="11"/>
      <c r="W6" s="11"/>
      <c r="X6" s="12"/>
    </row>
    <row r="7" spans="4:27" x14ac:dyDescent="0.3">
      <c r="D7" s="10"/>
      <c r="E7" s="11"/>
      <c r="F7" s="11"/>
      <c r="G7" s="11"/>
      <c r="H7" s="11"/>
      <c r="I7" s="11"/>
      <c r="J7" s="11"/>
      <c r="K7" s="11"/>
      <c r="L7" s="11"/>
      <c r="M7" s="11"/>
      <c r="N7" s="11"/>
      <c r="O7" s="11"/>
      <c r="P7" s="11"/>
      <c r="Q7" s="11"/>
      <c r="R7" s="11"/>
      <c r="S7" s="11"/>
      <c r="T7" s="11"/>
      <c r="U7" s="11"/>
      <c r="V7" s="11"/>
      <c r="W7" s="11"/>
      <c r="X7" s="12"/>
    </row>
    <row r="8" spans="4:27" x14ac:dyDescent="0.3">
      <c r="D8" s="10"/>
      <c r="E8" s="11"/>
      <c r="F8" s="11"/>
      <c r="G8" s="11"/>
      <c r="H8" s="11"/>
      <c r="I8" s="11"/>
      <c r="J8" s="11"/>
      <c r="K8" s="11"/>
      <c r="L8" s="11"/>
      <c r="M8" s="11"/>
      <c r="N8" s="11"/>
      <c r="O8" s="11"/>
      <c r="P8" s="11"/>
      <c r="Q8" s="11"/>
      <c r="R8" s="11"/>
      <c r="S8" s="11"/>
      <c r="T8" s="11"/>
      <c r="U8" s="11"/>
      <c r="V8" s="11"/>
      <c r="W8" s="11"/>
      <c r="X8" s="12"/>
    </row>
    <row r="9" spans="4:27" x14ac:dyDescent="0.3">
      <c r="D9" s="10"/>
      <c r="E9" s="11"/>
      <c r="F9" s="11"/>
      <c r="G9" s="11"/>
      <c r="H9" s="11"/>
      <c r="I9" s="11"/>
      <c r="J9" s="11"/>
      <c r="K9" s="11"/>
      <c r="L9" s="11"/>
      <c r="M9" s="11"/>
      <c r="N9" s="11"/>
      <c r="O9" s="11"/>
      <c r="P9" s="11"/>
      <c r="Q9" s="11"/>
      <c r="R9" s="11"/>
      <c r="S9" s="11"/>
      <c r="T9" s="11"/>
      <c r="U9" s="11"/>
      <c r="V9" s="11"/>
      <c r="W9" s="11"/>
      <c r="X9" s="12"/>
    </row>
    <row r="10" spans="4:27" x14ac:dyDescent="0.3">
      <c r="D10" s="10"/>
      <c r="E10" s="11"/>
      <c r="F10" s="11"/>
      <c r="G10" s="11"/>
      <c r="H10" s="11"/>
      <c r="I10" s="11"/>
      <c r="J10" s="11"/>
      <c r="K10" s="11"/>
      <c r="L10" s="11"/>
      <c r="M10" s="11"/>
      <c r="N10" s="11"/>
      <c r="O10" s="11"/>
      <c r="P10" s="11"/>
      <c r="Q10" s="11"/>
      <c r="R10" s="11"/>
      <c r="S10" s="11"/>
      <c r="T10" s="11"/>
      <c r="U10" s="11"/>
      <c r="V10" s="11"/>
      <c r="W10" s="11"/>
      <c r="X10" s="12"/>
    </row>
    <row r="11" spans="4:27" x14ac:dyDescent="0.3">
      <c r="D11" s="10"/>
      <c r="E11" s="11"/>
      <c r="F11" s="11"/>
      <c r="G11" s="11"/>
      <c r="H11" s="11"/>
      <c r="I11" s="11"/>
      <c r="J11" s="11"/>
      <c r="K11" s="11"/>
      <c r="L11" s="11"/>
      <c r="M11" s="11"/>
      <c r="N11" s="11"/>
      <c r="O11" s="11"/>
      <c r="P11" s="11"/>
      <c r="Q11" s="11"/>
      <c r="R11" s="11"/>
      <c r="S11" s="11"/>
      <c r="T11" s="11"/>
      <c r="U11" s="11"/>
      <c r="V11" s="11"/>
      <c r="W11" s="11"/>
      <c r="X11" s="12"/>
    </row>
    <row r="12" spans="4:27" x14ac:dyDescent="0.3">
      <c r="D12" s="10"/>
      <c r="E12" s="11"/>
      <c r="F12" s="11"/>
      <c r="G12" s="11"/>
      <c r="H12" s="11"/>
      <c r="I12" s="11"/>
      <c r="J12" s="11"/>
      <c r="K12" s="11"/>
      <c r="L12" s="11"/>
      <c r="M12" s="11"/>
      <c r="N12" s="11"/>
      <c r="O12" s="11"/>
      <c r="P12" s="11"/>
      <c r="Q12" s="11"/>
      <c r="R12" s="11"/>
      <c r="S12" s="11"/>
      <c r="T12" s="11"/>
      <c r="U12" s="11"/>
      <c r="V12" s="11"/>
      <c r="W12" s="11"/>
      <c r="X12" s="12"/>
    </row>
    <row r="13" spans="4:27" x14ac:dyDescent="0.3">
      <c r="D13" s="10"/>
      <c r="E13" s="11"/>
      <c r="F13" s="11"/>
      <c r="G13" s="11"/>
      <c r="H13" s="11"/>
      <c r="I13" s="11"/>
      <c r="J13" s="11"/>
      <c r="K13" s="11"/>
      <c r="L13" s="11"/>
      <c r="M13" s="11"/>
      <c r="N13" s="11"/>
      <c r="O13" s="11"/>
      <c r="P13" s="11"/>
      <c r="Q13" s="11"/>
      <c r="R13" s="11"/>
      <c r="S13" s="11"/>
      <c r="T13" s="11"/>
      <c r="U13" s="11"/>
      <c r="V13" s="11"/>
      <c r="W13" s="11"/>
      <c r="X13" s="12"/>
    </row>
    <row r="14" spans="4:27" x14ac:dyDescent="0.3">
      <c r="D14" s="10"/>
      <c r="E14" s="11"/>
      <c r="F14" s="11"/>
      <c r="G14" s="11"/>
      <c r="H14" s="11"/>
      <c r="I14" s="11"/>
      <c r="J14" s="11"/>
      <c r="K14" s="11"/>
      <c r="L14" s="11"/>
      <c r="M14" s="11"/>
      <c r="N14" s="11"/>
      <c r="O14" s="11"/>
      <c r="P14" s="11"/>
      <c r="Q14" s="11"/>
      <c r="R14" s="11"/>
      <c r="S14" s="11"/>
      <c r="T14" s="11"/>
      <c r="U14" s="11"/>
      <c r="V14" s="11"/>
      <c r="W14" s="11"/>
      <c r="X14" s="12"/>
    </row>
    <row r="15" spans="4:27" x14ac:dyDescent="0.3">
      <c r="D15" s="10"/>
      <c r="E15" s="11"/>
      <c r="F15" s="11"/>
      <c r="G15" s="11"/>
      <c r="H15" s="11"/>
      <c r="I15" s="11"/>
      <c r="J15" s="11"/>
      <c r="K15" s="11"/>
      <c r="L15" s="11"/>
      <c r="M15" s="11"/>
      <c r="N15" s="11"/>
      <c r="O15" s="11"/>
      <c r="P15" s="11"/>
      <c r="Q15" s="11"/>
      <c r="R15" s="11"/>
      <c r="S15" s="11"/>
      <c r="T15" s="11"/>
      <c r="U15" s="11"/>
      <c r="V15" s="11"/>
      <c r="W15" s="11"/>
      <c r="X15" s="12"/>
    </row>
    <row r="16" spans="4:27" x14ac:dyDescent="0.3">
      <c r="D16" s="10"/>
      <c r="E16" s="11"/>
      <c r="F16" s="11"/>
      <c r="G16" s="11"/>
      <c r="H16" s="11"/>
      <c r="I16" s="11"/>
      <c r="J16" s="11"/>
      <c r="K16" s="11"/>
      <c r="L16" s="11"/>
      <c r="M16" s="11"/>
      <c r="N16" s="11"/>
      <c r="O16" s="11"/>
      <c r="P16" s="11"/>
      <c r="Q16" s="11"/>
      <c r="R16" s="11"/>
      <c r="S16" s="11"/>
      <c r="T16" s="11"/>
      <c r="U16" s="11"/>
      <c r="V16" s="11"/>
      <c r="W16" s="11"/>
      <c r="X16" s="12"/>
    </row>
    <row r="17" spans="4:24" x14ac:dyDescent="0.3">
      <c r="D17" s="10"/>
      <c r="E17" s="11"/>
      <c r="F17" s="11"/>
      <c r="G17" s="11"/>
      <c r="H17" s="11"/>
      <c r="I17" s="11"/>
      <c r="J17" s="11"/>
      <c r="K17" s="11"/>
      <c r="L17" s="11"/>
      <c r="M17" s="11"/>
      <c r="N17" s="11"/>
      <c r="O17" s="11"/>
      <c r="P17" s="11"/>
      <c r="Q17" s="11"/>
      <c r="R17" s="11"/>
      <c r="S17" s="11"/>
      <c r="T17" s="11"/>
      <c r="U17" s="11"/>
      <c r="V17" s="11"/>
      <c r="W17" s="11"/>
      <c r="X17" s="12"/>
    </row>
    <row r="18" spans="4:24" x14ac:dyDescent="0.3">
      <c r="D18" s="10"/>
      <c r="E18" s="11"/>
      <c r="F18" s="11"/>
      <c r="G18" s="11"/>
      <c r="H18" s="11"/>
      <c r="I18" s="11"/>
      <c r="J18" s="11"/>
      <c r="K18" s="11"/>
      <c r="L18" s="11"/>
      <c r="M18" s="11"/>
      <c r="N18" s="11"/>
      <c r="O18" s="11"/>
      <c r="P18" s="11"/>
      <c r="Q18" s="11"/>
      <c r="R18" s="11"/>
      <c r="S18" s="11"/>
      <c r="T18" s="11"/>
      <c r="U18" s="11"/>
      <c r="V18" s="11"/>
      <c r="W18" s="11"/>
      <c r="X18" s="12"/>
    </row>
    <row r="19" spans="4:24" x14ac:dyDescent="0.3">
      <c r="D19" s="10"/>
      <c r="E19" s="11"/>
      <c r="F19" s="11"/>
      <c r="G19" s="11"/>
      <c r="H19" s="11"/>
      <c r="I19" s="11"/>
      <c r="J19" s="11"/>
      <c r="K19" s="11"/>
      <c r="L19" s="11"/>
      <c r="M19" s="11"/>
      <c r="N19" s="11"/>
      <c r="O19" s="11"/>
      <c r="P19" s="11"/>
      <c r="Q19" s="11"/>
      <c r="R19" s="11"/>
      <c r="S19" s="11"/>
      <c r="T19" s="11"/>
      <c r="U19" s="11"/>
      <c r="V19" s="11"/>
      <c r="W19" s="11"/>
      <c r="X19" s="12"/>
    </row>
    <row r="20" spans="4:24" x14ac:dyDescent="0.3">
      <c r="D20" s="10"/>
      <c r="E20" s="11"/>
      <c r="F20" s="11"/>
      <c r="G20" s="11"/>
      <c r="H20" s="11"/>
      <c r="I20" s="11"/>
      <c r="J20" s="11"/>
      <c r="K20" s="11"/>
      <c r="L20" s="11"/>
      <c r="M20" s="11"/>
      <c r="N20" s="11"/>
      <c r="O20" s="11"/>
      <c r="P20" s="11"/>
      <c r="Q20" s="11"/>
      <c r="R20" s="11"/>
      <c r="S20" s="11"/>
      <c r="T20" s="11"/>
      <c r="U20" s="11"/>
      <c r="V20" s="11"/>
      <c r="W20" s="11"/>
      <c r="X20" s="12"/>
    </row>
    <row r="21" spans="4:24" x14ac:dyDescent="0.3">
      <c r="D21" s="10"/>
      <c r="E21" s="11"/>
      <c r="F21" s="11"/>
      <c r="G21" s="11"/>
      <c r="H21" s="11"/>
      <c r="I21" s="11"/>
      <c r="J21" s="11"/>
      <c r="K21" s="11"/>
      <c r="L21" s="11"/>
      <c r="M21" s="11"/>
      <c r="N21" s="11"/>
      <c r="O21" s="11"/>
      <c r="P21" s="11"/>
      <c r="Q21" s="11"/>
      <c r="R21" s="11"/>
      <c r="S21" s="11"/>
      <c r="T21" s="11"/>
      <c r="U21" s="11"/>
      <c r="V21" s="11"/>
      <c r="W21" s="11"/>
      <c r="X21" s="12"/>
    </row>
    <row r="22" spans="4:24" x14ac:dyDescent="0.3">
      <c r="D22" s="10"/>
      <c r="E22" s="11"/>
      <c r="F22" s="11"/>
      <c r="G22" s="11"/>
      <c r="H22" s="11"/>
      <c r="I22" s="11"/>
      <c r="J22" s="11"/>
      <c r="K22" s="11"/>
      <c r="L22" s="11"/>
      <c r="M22" s="11"/>
      <c r="N22" s="11"/>
      <c r="O22" s="11"/>
      <c r="P22" s="11"/>
      <c r="Q22" s="11"/>
      <c r="R22" s="11"/>
      <c r="S22" s="11"/>
      <c r="T22" s="11"/>
      <c r="U22" s="11"/>
      <c r="V22" s="11"/>
      <c r="W22" s="11"/>
      <c r="X22" s="12"/>
    </row>
    <row r="23" spans="4:24" x14ac:dyDescent="0.3">
      <c r="D23" s="10"/>
      <c r="E23" s="11"/>
      <c r="F23" s="11"/>
      <c r="G23" s="11"/>
      <c r="H23" s="11"/>
      <c r="I23" s="11"/>
      <c r="J23" s="11"/>
      <c r="K23" s="11"/>
      <c r="L23" s="11"/>
      <c r="M23" s="11"/>
      <c r="N23" s="11"/>
      <c r="O23" s="11"/>
      <c r="P23" s="11"/>
      <c r="Q23" s="11"/>
      <c r="R23" s="11"/>
      <c r="S23" s="11"/>
      <c r="T23" s="11"/>
      <c r="U23" s="11"/>
      <c r="V23" s="11"/>
      <c r="W23" s="11"/>
      <c r="X23" s="12"/>
    </row>
    <row r="24" spans="4:24" x14ac:dyDescent="0.3">
      <c r="D24" s="10"/>
      <c r="E24" s="11"/>
      <c r="F24" s="11"/>
      <c r="G24" s="11"/>
      <c r="H24" s="11"/>
      <c r="I24" s="11"/>
      <c r="J24" s="11"/>
      <c r="K24" s="11"/>
      <c r="L24" s="11"/>
      <c r="M24" s="11"/>
      <c r="N24" s="11"/>
      <c r="O24" s="11"/>
      <c r="P24" s="11"/>
      <c r="Q24" s="11"/>
      <c r="R24" s="11"/>
      <c r="S24" s="11"/>
      <c r="T24" s="11"/>
      <c r="U24" s="11"/>
      <c r="V24" s="11"/>
      <c r="W24" s="11"/>
      <c r="X24" s="12"/>
    </row>
    <row r="25" spans="4:24" x14ac:dyDescent="0.3">
      <c r="D25" s="10"/>
      <c r="E25" s="11"/>
      <c r="F25" s="11"/>
      <c r="G25" s="11"/>
      <c r="H25" s="11"/>
      <c r="I25" s="11"/>
      <c r="J25" s="11"/>
      <c r="K25" s="11"/>
      <c r="L25" s="11"/>
      <c r="M25" s="11"/>
      <c r="N25" s="11"/>
      <c r="O25" s="11"/>
      <c r="P25" s="11"/>
      <c r="Q25" s="11"/>
      <c r="R25" s="11"/>
      <c r="S25" s="11"/>
      <c r="T25" s="11"/>
      <c r="U25" s="11"/>
      <c r="V25" s="11"/>
      <c r="W25" s="11"/>
      <c r="X25" s="12"/>
    </row>
    <row r="26" spans="4:24" x14ac:dyDescent="0.3">
      <c r="D26" s="10"/>
      <c r="E26" s="11"/>
      <c r="F26" s="11"/>
      <c r="G26" s="11"/>
      <c r="H26" s="11"/>
      <c r="I26" s="11"/>
      <c r="J26" s="11"/>
      <c r="K26" s="11"/>
      <c r="L26" s="11"/>
      <c r="M26" s="11"/>
      <c r="N26" s="11"/>
      <c r="O26" s="11"/>
      <c r="P26" s="11"/>
      <c r="Q26" s="11"/>
      <c r="R26" s="11"/>
      <c r="S26" s="11"/>
      <c r="T26" s="11"/>
      <c r="U26" s="11"/>
      <c r="V26" s="11"/>
      <c r="W26" s="11"/>
      <c r="X26" s="12"/>
    </row>
    <row r="27" spans="4:24" x14ac:dyDescent="0.3">
      <c r="D27" s="10"/>
      <c r="E27" s="11"/>
      <c r="F27" s="11"/>
      <c r="G27" s="11"/>
      <c r="H27" s="11"/>
      <c r="I27" s="11"/>
      <c r="J27" s="11"/>
      <c r="K27" s="11"/>
      <c r="L27" s="11"/>
      <c r="M27" s="11"/>
      <c r="N27" s="11"/>
      <c r="O27" s="11"/>
      <c r="P27" s="11"/>
      <c r="Q27" s="11"/>
      <c r="R27" s="11"/>
      <c r="S27" s="11"/>
      <c r="T27" s="11"/>
      <c r="U27" s="11"/>
      <c r="V27" s="11"/>
      <c r="W27" s="11"/>
      <c r="X27" s="12"/>
    </row>
    <row r="28" spans="4:24" x14ac:dyDescent="0.3">
      <c r="D28" s="10"/>
      <c r="E28" s="11"/>
      <c r="F28" s="11"/>
      <c r="G28" s="11"/>
      <c r="H28" s="11"/>
      <c r="I28" s="11"/>
      <c r="J28" s="11"/>
      <c r="K28" s="11"/>
      <c r="L28" s="11"/>
      <c r="M28" s="11"/>
      <c r="N28" s="11"/>
      <c r="O28" s="11"/>
      <c r="P28" s="11"/>
      <c r="Q28" s="11"/>
      <c r="R28" s="11"/>
      <c r="S28" s="11"/>
      <c r="T28" s="11"/>
      <c r="U28" s="11"/>
      <c r="V28" s="11"/>
      <c r="W28" s="11"/>
      <c r="X28" s="12"/>
    </row>
    <row r="29" spans="4:24" x14ac:dyDescent="0.3">
      <c r="D29" s="10"/>
      <c r="E29" s="11"/>
      <c r="F29" s="11"/>
      <c r="G29" s="11"/>
      <c r="H29" s="11"/>
      <c r="I29" s="11"/>
      <c r="J29" s="11"/>
      <c r="K29" s="11"/>
      <c r="L29" s="11"/>
      <c r="M29" s="11"/>
      <c r="N29" s="11"/>
      <c r="O29" s="11"/>
      <c r="P29" s="11"/>
      <c r="Q29" s="11"/>
      <c r="R29" s="11"/>
      <c r="S29" s="11"/>
      <c r="T29" s="11"/>
      <c r="U29" s="11"/>
      <c r="V29" s="11"/>
      <c r="W29" s="11"/>
      <c r="X29" s="12"/>
    </row>
    <row r="30" spans="4:24" x14ac:dyDescent="0.3">
      <c r="D30" s="10"/>
      <c r="E30" s="11"/>
      <c r="F30" s="11"/>
      <c r="G30" s="11"/>
      <c r="H30" s="11"/>
      <c r="I30" s="11"/>
      <c r="J30" s="11"/>
      <c r="K30" s="11"/>
      <c r="L30" s="11"/>
      <c r="M30" s="11"/>
      <c r="N30" s="11"/>
      <c r="O30" s="11"/>
      <c r="P30" s="11"/>
      <c r="Q30" s="11"/>
      <c r="R30" s="11"/>
      <c r="S30" s="11"/>
      <c r="T30" s="11"/>
      <c r="U30" s="11"/>
      <c r="V30" s="11"/>
      <c r="W30" s="11"/>
      <c r="X30" s="12"/>
    </row>
    <row r="31" spans="4:24" x14ac:dyDescent="0.3">
      <c r="D31" s="10"/>
      <c r="E31" s="11"/>
      <c r="F31" s="11"/>
      <c r="G31" s="11"/>
      <c r="H31" s="11"/>
      <c r="I31" s="11"/>
      <c r="J31" s="11"/>
      <c r="K31" s="11"/>
      <c r="L31" s="11"/>
      <c r="M31" s="11"/>
      <c r="N31" s="11"/>
      <c r="O31" s="11"/>
      <c r="P31" s="11"/>
      <c r="Q31" s="11"/>
      <c r="R31" s="11"/>
      <c r="S31" s="11"/>
      <c r="T31" s="11"/>
      <c r="U31" s="11"/>
      <c r="V31" s="11"/>
      <c r="W31" s="11"/>
      <c r="X31" s="12"/>
    </row>
    <row r="32" spans="4:24" x14ac:dyDescent="0.3">
      <c r="D32" s="10"/>
      <c r="E32" s="11"/>
      <c r="F32" s="11"/>
      <c r="G32" s="11"/>
      <c r="H32" s="11"/>
      <c r="I32" s="11"/>
      <c r="J32" s="11"/>
      <c r="K32" s="11"/>
      <c r="L32" s="11"/>
      <c r="M32" s="11"/>
      <c r="N32" s="11"/>
      <c r="O32" s="11"/>
      <c r="P32" s="11"/>
      <c r="Q32" s="11"/>
      <c r="R32" s="11"/>
      <c r="S32" s="11"/>
      <c r="T32" s="11"/>
      <c r="U32" s="11"/>
      <c r="V32" s="11"/>
      <c r="W32" s="11"/>
      <c r="X32" s="12"/>
    </row>
    <row r="33" spans="4:24" x14ac:dyDescent="0.3">
      <c r="D33" s="10"/>
      <c r="E33" s="11"/>
      <c r="F33" s="11"/>
      <c r="G33" s="11"/>
      <c r="H33" s="11"/>
      <c r="I33" s="11"/>
      <c r="J33" s="11"/>
      <c r="K33" s="11"/>
      <c r="L33" s="11"/>
      <c r="M33" s="11"/>
      <c r="N33" s="11"/>
      <c r="O33" s="11"/>
      <c r="P33" s="11"/>
      <c r="Q33" s="11"/>
      <c r="R33" s="11"/>
      <c r="S33" s="11"/>
      <c r="T33" s="11"/>
      <c r="U33" s="11"/>
      <c r="V33" s="11"/>
      <c r="W33" s="11"/>
      <c r="X33" s="12"/>
    </row>
    <row r="34" spans="4:24" x14ac:dyDescent="0.3">
      <c r="D34" s="10"/>
      <c r="E34" s="11"/>
      <c r="F34" s="11"/>
      <c r="G34" s="11"/>
      <c r="H34" s="11"/>
      <c r="I34" s="11"/>
      <c r="J34" s="11"/>
      <c r="K34" s="11"/>
      <c r="L34" s="11"/>
      <c r="M34" s="11"/>
      <c r="N34" s="11"/>
      <c r="O34" s="11"/>
      <c r="P34" s="11"/>
      <c r="Q34" s="11"/>
      <c r="R34" s="11"/>
      <c r="S34" s="11"/>
      <c r="T34" s="11"/>
      <c r="U34" s="11"/>
      <c r="V34" s="11"/>
      <c r="W34" s="11"/>
      <c r="X34" s="12"/>
    </row>
    <row r="35" spans="4:24" x14ac:dyDescent="0.3">
      <c r="D35" s="10"/>
      <c r="E35" s="11"/>
      <c r="F35" s="11"/>
      <c r="G35" s="11"/>
      <c r="H35" s="11"/>
      <c r="I35" s="11"/>
      <c r="J35" s="11"/>
      <c r="K35" s="11"/>
      <c r="L35" s="11"/>
      <c r="M35" s="11"/>
      <c r="N35" s="11"/>
      <c r="O35" s="11"/>
      <c r="P35" s="11"/>
      <c r="Q35" s="11"/>
      <c r="R35" s="11"/>
      <c r="S35" s="11"/>
      <c r="T35" s="11"/>
      <c r="U35" s="11"/>
      <c r="V35" s="11"/>
      <c r="W35" s="11"/>
      <c r="X35" s="12"/>
    </row>
    <row r="36" spans="4:24" x14ac:dyDescent="0.3">
      <c r="D36" s="10"/>
      <c r="E36" s="11"/>
      <c r="F36" s="11"/>
      <c r="G36" s="11"/>
      <c r="H36" s="11"/>
      <c r="I36" s="11"/>
      <c r="J36" s="11"/>
      <c r="K36" s="11"/>
      <c r="L36" s="11"/>
      <c r="M36" s="11"/>
      <c r="N36" s="11"/>
      <c r="O36" s="11"/>
      <c r="P36" s="11"/>
      <c r="Q36" s="11"/>
      <c r="R36" s="11"/>
      <c r="S36" s="11"/>
      <c r="T36" s="11"/>
      <c r="U36" s="11"/>
      <c r="V36" s="11"/>
      <c r="W36" s="11"/>
      <c r="X36" s="12"/>
    </row>
    <row r="37" spans="4:24" x14ac:dyDescent="0.3">
      <c r="D37" s="10"/>
      <c r="E37" s="11"/>
      <c r="F37" s="11"/>
      <c r="G37" s="11"/>
      <c r="H37" s="11"/>
      <c r="I37" s="11"/>
      <c r="J37" s="11"/>
      <c r="K37" s="11"/>
      <c r="L37" s="11"/>
      <c r="M37" s="11"/>
      <c r="N37" s="11"/>
      <c r="O37" s="11"/>
      <c r="P37" s="11"/>
      <c r="Q37" s="11"/>
      <c r="R37" s="11"/>
      <c r="S37" s="11"/>
      <c r="T37" s="11"/>
      <c r="U37" s="11"/>
      <c r="V37" s="11"/>
      <c r="W37" s="11"/>
      <c r="X37" s="12"/>
    </row>
    <row r="38" spans="4:24" x14ac:dyDescent="0.3">
      <c r="D38" s="10"/>
      <c r="E38" s="11"/>
      <c r="F38" s="11"/>
      <c r="G38" s="11"/>
      <c r="H38" s="11"/>
      <c r="I38" s="11"/>
      <c r="J38" s="11"/>
      <c r="K38" s="11"/>
      <c r="L38" s="11"/>
      <c r="M38" s="11"/>
      <c r="N38" s="11"/>
      <c r="O38" s="11"/>
      <c r="P38" s="11"/>
      <c r="Q38" s="11"/>
      <c r="R38" s="11"/>
      <c r="S38" s="11"/>
      <c r="T38" s="11"/>
      <c r="U38" s="11"/>
      <c r="V38" s="11"/>
      <c r="W38" s="11"/>
      <c r="X38" s="12"/>
    </row>
    <row r="39" spans="4:24" x14ac:dyDescent="0.3">
      <c r="D39" s="10"/>
      <c r="E39" s="11"/>
      <c r="F39" s="11"/>
      <c r="G39" s="11"/>
      <c r="H39" s="11"/>
      <c r="I39" s="11"/>
      <c r="J39" s="11"/>
      <c r="K39" s="11"/>
      <c r="L39" s="11"/>
      <c r="M39" s="11"/>
      <c r="N39" s="11"/>
      <c r="O39" s="11"/>
      <c r="P39" s="11"/>
      <c r="Q39" s="11"/>
      <c r="R39" s="11"/>
      <c r="S39" s="11"/>
      <c r="T39" s="11"/>
      <c r="U39" s="11"/>
      <c r="V39" s="11"/>
      <c r="W39" s="11"/>
      <c r="X39" s="12"/>
    </row>
    <row r="40" spans="4:24" x14ac:dyDescent="0.3">
      <c r="D40" s="10"/>
      <c r="E40" s="11"/>
      <c r="F40" s="11"/>
      <c r="G40" s="11"/>
      <c r="H40" s="11"/>
      <c r="I40" s="11"/>
      <c r="J40" s="11"/>
      <c r="K40" s="11"/>
      <c r="L40" s="11"/>
      <c r="M40" s="11"/>
      <c r="N40" s="11"/>
      <c r="O40" s="11"/>
      <c r="P40" s="11"/>
      <c r="Q40" s="11"/>
      <c r="R40" s="11"/>
      <c r="S40" s="11"/>
      <c r="T40" s="11"/>
      <c r="U40" s="11"/>
      <c r="V40" s="11"/>
      <c r="W40" s="11"/>
      <c r="X40" s="12"/>
    </row>
    <row r="41" spans="4:24" x14ac:dyDescent="0.3">
      <c r="D41" s="10"/>
      <c r="E41" s="11"/>
      <c r="F41" s="11"/>
      <c r="G41" s="11"/>
      <c r="H41" s="11"/>
      <c r="I41" s="11"/>
      <c r="J41" s="11"/>
      <c r="K41" s="11"/>
      <c r="L41" s="11"/>
      <c r="M41" s="11"/>
      <c r="N41" s="11"/>
      <c r="O41" s="11"/>
      <c r="P41" s="11"/>
      <c r="Q41" s="11"/>
      <c r="R41" s="11"/>
      <c r="S41" s="11"/>
      <c r="T41" s="11"/>
      <c r="U41" s="11"/>
      <c r="V41" s="11"/>
      <c r="W41" s="11"/>
      <c r="X41" s="12"/>
    </row>
    <row r="42" spans="4:24" x14ac:dyDescent="0.3">
      <c r="D42" s="10"/>
      <c r="E42" s="11"/>
      <c r="F42" s="11"/>
      <c r="G42" s="11"/>
      <c r="H42" s="11"/>
      <c r="I42" s="11"/>
      <c r="J42" s="11"/>
      <c r="K42" s="11"/>
      <c r="L42" s="11"/>
      <c r="M42" s="11"/>
      <c r="N42" s="11"/>
      <c r="O42" s="11"/>
      <c r="P42" s="11"/>
      <c r="Q42" s="11"/>
      <c r="R42" s="11"/>
      <c r="S42" s="11"/>
      <c r="T42" s="11"/>
      <c r="U42" s="11"/>
      <c r="V42" s="11"/>
      <c r="W42" s="11"/>
      <c r="X42" s="12"/>
    </row>
    <row r="43" spans="4:24" x14ac:dyDescent="0.3">
      <c r="D43" s="10"/>
      <c r="E43" s="11"/>
      <c r="F43" s="11"/>
      <c r="G43" s="11"/>
      <c r="H43" s="11"/>
      <c r="I43" s="11"/>
      <c r="J43" s="11"/>
      <c r="K43" s="11"/>
      <c r="L43" s="11"/>
      <c r="M43" s="11"/>
      <c r="N43" s="11"/>
      <c r="O43" s="11"/>
      <c r="P43" s="11"/>
      <c r="Q43" s="11"/>
      <c r="R43" s="11"/>
      <c r="S43" s="11"/>
      <c r="T43" s="11"/>
      <c r="U43" s="11"/>
      <c r="V43" s="11"/>
      <c r="W43" s="11"/>
      <c r="X43" s="12"/>
    </row>
    <row r="44" spans="4:24" x14ac:dyDescent="0.3">
      <c r="D44" s="10"/>
      <c r="E44" s="11"/>
      <c r="F44" s="11"/>
      <c r="G44" s="11"/>
      <c r="H44" s="11"/>
      <c r="I44" s="11"/>
      <c r="J44" s="11"/>
      <c r="K44" s="11"/>
      <c r="L44" s="11"/>
      <c r="M44" s="11"/>
      <c r="N44" s="11"/>
      <c r="O44" s="11"/>
      <c r="P44" s="11"/>
      <c r="Q44" s="11"/>
      <c r="R44" s="11"/>
      <c r="S44" s="11"/>
      <c r="T44" s="11"/>
      <c r="U44" s="11"/>
      <c r="V44" s="11"/>
      <c r="W44" s="11"/>
      <c r="X44" s="12"/>
    </row>
    <row r="45" spans="4:24" x14ac:dyDescent="0.3">
      <c r="D45" s="10"/>
      <c r="E45" s="11"/>
      <c r="F45" s="11"/>
      <c r="G45" s="11"/>
      <c r="H45" s="11"/>
      <c r="I45" s="11"/>
      <c r="J45" s="11"/>
      <c r="K45" s="11"/>
      <c r="L45" s="11"/>
      <c r="M45" s="11"/>
      <c r="N45" s="11"/>
      <c r="O45" s="11"/>
      <c r="P45" s="11"/>
      <c r="Q45" s="11"/>
      <c r="R45" s="11"/>
      <c r="S45" s="11"/>
      <c r="T45" s="11"/>
      <c r="U45" s="11"/>
      <c r="V45" s="11"/>
      <c r="W45" s="11"/>
      <c r="X45" s="12"/>
    </row>
    <row r="46" spans="4:24" x14ac:dyDescent="0.3">
      <c r="D46" s="10"/>
      <c r="E46" s="11"/>
      <c r="F46" s="11"/>
      <c r="G46" s="11"/>
      <c r="H46" s="11"/>
      <c r="I46" s="11"/>
      <c r="J46" s="11"/>
      <c r="K46" s="11"/>
      <c r="L46" s="11"/>
      <c r="M46" s="11"/>
      <c r="N46" s="11"/>
      <c r="O46" s="11"/>
      <c r="P46" s="11"/>
      <c r="Q46" s="11"/>
      <c r="R46" s="11"/>
      <c r="S46" s="11"/>
      <c r="T46" s="11"/>
      <c r="U46" s="11"/>
      <c r="V46" s="11"/>
      <c r="W46" s="11"/>
      <c r="X46" s="12"/>
    </row>
    <row r="47" spans="4:24" x14ac:dyDescent="0.3">
      <c r="D47" s="10"/>
      <c r="E47" s="11"/>
      <c r="F47" s="11"/>
      <c r="G47" s="11"/>
      <c r="H47" s="11"/>
      <c r="I47" s="11"/>
      <c r="J47" s="11"/>
      <c r="K47" s="11"/>
      <c r="L47" s="11"/>
      <c r="M47" s="11"/>
      <c r="N47" s="11"/>
      <c r="O47" s="11"/>
      <c r="P47" s="11"/>
      <c r="Q47" s="11"/>
      <c r="R47" s="11"/>
      <c r="S47" s="11"/>
      <c r="T47" s="11"/>
      <c r="U47" s="11"/>
      <c r="V47" s="11"/>
      <c r="W47" s="11"/>
      <c r="X47" s="12"/>
    </row>
    <row r="48" spans="4:24" x14ac:dyDescent="0.3">
      <c r="D48" s="10"/>
      <c r="E48" s="11"/>
      <c r="F48" s="11"/>
      <c r="G48" s="11"/>
      <c r="H48" s="11"/>
      <c r="I48" s="11"/>
      <c r="J48" s="11"/>
      <c r="K48" s="11"/>
      <c r="L48" s="11"/>
      <c r="M48" s="11"/>
      <c r="N48" s="11"/>
      <c r="O48" s="11"/>
      <c r="P48" s="11"/>
      <c r="Q48" s="11"/>
      <c r="R48" s="11"/>
      <c r="S48" s="11"/>
      <c r="T48" s="11"/>
      <c r="U48" s="11"/>
      <c r="V48" s="11"/>
      <c r="W48" s="11"/>
      <c r="X48" s="12"/>
    </row>
    <row r="49" spans="4:24" x14ac:dyDescent="0.3">
      <c r="D49" s="10"/>
      <c r="E49" s="11"/>
      <c r="F49" s="11"/>
      <c r="G49" s="11"/>
      <c r="H49" s="11"/>
      <c r="I49" s="11"/>
      <c r="J49" s="11"/>
      <c r="K49" s="11"/>
      <c r="L49" s="11"/>
      <c r="M49" s="11"/>
      <c r="N49" s="11"/>
      <c r="O49" s="11"/>
      <c r="P49" s="11"/>
      <c r="Q49" s="11"/>
      <c r="R49" s="11"/>
      <c r="S49" s="11"/>
      <c r="T49" s="11"/>
      <c r="U49" s="11"/>
      <c r="V49" s="11"/>
      <c r="W49" s="11"/>
      <c r="X49" s="12"/>
    </row>
    <row r="50" spans="4:24" x14ac:dyDescent="0.3">
      <c r="D50" s="10"/>
      <c r="E50" s="11"/>
      <c r="F50" s="11"/>
      <c r="G50" s="11"/>
      <c r="H50" s="11"/>
      <c r="I50" s="11"/>
      <c r="J50" s="11"/>
      <c r="K50" s="11"/>
      <c r="L50" s="11"/>
      <c r="M50" s="11"/>
      <c r="N50" s="11"/>
      <c r="O50" s="11"/>
      <c r="P50" s="11"/>
      <c r="Q50" s="11"/>
      <c r="R50" s="11"/>
      <c r="S50" s="11"/>
      <c r="T50" s="11"/>
      <c r="U50" s="11"/>
      <c r="V50" s="11"/>
      <c r="W50" s="11"/>
      <c r="X50" s="12"/>
    </row>
    <row r="51" spans="4:24" ht="43.2" customHeight="1" thickBot="1" x14ac:dyDescent="0.35">
      <c r="D51" s="13"/>
      <c r="E51" s="14"/>
      <c r="F51" s="14"/>
      <c r="G51" s="14"/>
      <c r="H51" s="14"/>
      <c r="I51" s="14"/>
      <c r="J51" s="14"/>
      <c r="K51" s="14"/>
      <c r="L51" s="14"/>
      <c r="M51" s="14"/>
      <c r="N51" s="14"/>
      <c r="O51" s="14"/>
      <c r="P51" s="14"/>
      <c r="Q51" s="14"/>
      <c r="R51" s="14"/>
      <c r="S51" s="14"/>
      <c r="T51" s="14"/>
      <c r="U51" s="14"/>
      <c r="V51" s="14"/>
      <c r="W51" s="14"/>
      <c r="X51" s="15"/>
    </row>
  </sheetData>
  <mergeCells count="1">
    <mergeCell ref="D1:X3"/>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Manufecturing Dataset</vt:lpstr>
      <vt:lpstr>Manufecturing pivot table</vt:lpstr>
      <vt:lpstr>Manudfecturing problem statemen</vt:lpstr>
      <vt:lpstr>Manufecturing Dashboard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Aarti Mishra</cp:lastModifiedBy>
  <dcterms:created xsi:type="dcterms:W3CDTF">2025-12-23T07:37:52Z</dcterms:created>
  <dcterms:modified xsi:type="dcterms:W3CDTF">2025-12-27T03:06:12Z</dcterms:modified>
</cp:coreProperties>
</file>